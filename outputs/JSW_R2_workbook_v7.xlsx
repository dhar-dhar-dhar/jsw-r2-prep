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WE_F1_Payments" sheetId="3" state="visible" r:id="rId3"/>
    <sheet name="EX2_Fee_ladder" sheetId="4" state="visible" r:id="rId4"/>
    <sheet name="WE_F2_Lending" sheetId="5" state="visible" r:id="rId5"/>
    <sheet name="WE_F3_Insurance" sheetId="6" state="visible" r:id="rId6"/>
    <sheet name="WE_F4_Wealth" sheetId="7" state="visible" r:id="rId7"/>
    <sheet name="WE_F5_Fraud_identity" sheetId="8" state="visible" r:id="rId8"/>
    <sheet name="WE_AF2_Voice" sheetId="9" state="visible" r:id="rId9"/>
    <sheet name="WE_AF1_Finance_agents" sheetId="10" state="visible" r:id="rId10"/>
    <sheet name="WE_AF3_AI_native_services" sheetId="11" state="visible" r:id="rId11"/>
    <sheet name="WE_AV1_Vertical" sheetId="12" state="visible" r:id="rId12"/>
    <sheet name="WE_AL3_AL4_Tooling" sheetId="13" state="visible" r:id="rId13"/>
    <sheet name="WE_AC_Consumer" sheetId="14" state="visible" r:id="rId14"/>
    <sheet name="WE_AL1_AL2_Compute_models" sheetId="15" state="visible" r:id="rId15"/>
    <sheet name="WE_AP_Physical" sheetId="16" state="visible" r:id="rId16"/>
    <sheet name="EX4_Exits" sheetId="17" state="visible" r:id="rId17"/>
    <sheet name="EX6_Vendor_or_owner" sheetId="18" state="visible" r:id="rId18"/>
    <sheet name="EX7_Fund_maths" sheetId="19" state="visible" r:id="rId19"/>
    <sheet name="Check" sheetId="20" state="visible" r:id="rId20"/>
  </sheets>
  <definedNames>
    <definedName name="in_P1">Inputs!$C$4</definedName>
    <definedName name="in_P2">Inputs!$C$5</definedName>
    <definedName name="in_P3">Inputs!$C$6</definedName>
    <definedName name="in_P4">Inputs!$C$7</definedName>
    <definedName name="in_P5">Inputs!$C$8</definedName>
    <definedName name="in_P6">Inputs!$C$9</definedName>
    <definedName name="in_P7">Inputs!$C$10</definedName>
    <definedName name="in_P8">Inputs!$C$11</definedName>
    <definedName name="in_P9">Inputs!$C$12</definedName>
    <definedName name="in_P10">Inputs!$C$13</definedName>
    <definedName name="in_P11">Inputs!$C$14</definedName>
    <definedName name="in_P12a">Inputs!$C$15</definedName>
    <definedName name="in_P12b">Inputs!$C$16</definedName>
    <definedName name="in_P12c">Inputs!$C$17</definedName>
    <definedName name="in_P13">Inputs!$C$18</definedName>
    <definedName name="in_P14">Inputs!$C$19</definedName>
    <definedName name="in_P15">Inputs!$C$20</definedName>
    <definedName name="in_P16">Inputs!$C$21</definedName>
    <definedName name="in_P17">Inputs!$C$22</definedName>
    <definedName name="in_P18">Inputs!$C$23</definedName>
    <definedName name="in_P19">Inputs!$C$24</definedName>
    <definedName name="in_P19_lo">Inputs!$L$24</definedName>
    <definedName name="in_P19_hi">Inputs!$M$24</definedName>
    <definedName name="in_P20">Inputs!$C$25</definedName>
    <definedName name="in_P20_lo">Inputs!$L$25</definedName>
    <definedName name="in_P20_hi">Inputs!$M$25</definedName>
    <definedName name="in_P21">Inputs!$C$26</definedName>
    <definedName name="in_P21_lo">Inputs!$L$26</definedName>
    <definedName name="in_P21_hi">Inputs!$M$26</definedName>
    <definedName name="in_P22">Inputs!$C$27</definedName>
    <definedName name="in_P23">Inputs!$C$28</definedName>
    <definedName name="in_P24">Inputs!$C$29</definedName>
    <definedName name="in_L1">Inputs!$C$30</definedName>
    <definedName name="in_L2">Inputs!$C$31</definedName>
    <definedName name="in_L2_lo">Inputs!$L$31</definedName>
    <definedName name="in_L2_hi">Inputs!$M$31</definedName>
    <definedName name="in_L3">Inputs!$C$32</definedName>
    <definedName name="in_L3_lo">Inputs!$L$32</definedName>
    <definedName name="in_L3_hi">Inputs!$M$32</definedName>
    <definedName name="in_L4">Inputs!$C$33</definedName>
    <definedName name="in_L4_lo">Inputs!$L$33</definedName>
    <definedName name="in_L4_hi">Inputs!$M$33</definedName>
    <definedName name="in_L5">Inputs!$C$34</definedName>
    <definedName name="in_L5_lo">Inputs!$L$34</definedName>
    <definedName name="in_L5_hi">Inputs!$M$34</definedName>
    <definedName name="in_L6">Inputs!$C$35</definedName>
    <definedName name="in_L6_lo">Inputs!$L$35</definedName>
    <definedName name="in_L6_hi">Inputs!$M$35</definedName>
    <definedName name="in_L7">Inputs!$C$36</definedName>
    <definedName name="in_L7_lo">Inputs!$L$36</definedName>
    <definedName name="in_L7_hi">Inputs!$M$36</definedName>
    <definedName name="in_L8">Inputs!$C$37</definedName>
    <definedName name="in_L8_lo">Inputs!$L$37</definedName>
    <definedName name="in_L8_hi">Inputs!$M$37</definedName>
    <definedName name="in_L9">Inputs!$C$38</definedName>
    <definedName name="in_L10">Inputs!$C$39</definedName>
    <definedName name="in_L11">Inputs!$C$40</definedName>
    <definedName name="in_L12">Inputs!$C$41</definedName>
    <definedName name="in_L13">Inputs!$C$42</definedName>
    <definedName name="in_L14">Inputs!$C$43</definedName>
    <definedName name="in_L15">Inputs!$C$44</definedName>
    <definedName name="in_L15_lo">Inputs!$L$44</definedName>
    <definedName name="in_L15_hi">Inputs!$M$44</definedName>
    <definedName name="in_L16">Inputs!$C$45</definedName>
    <definedName name="in_L16_lo">Inputs!$L$45</definedName>
    <definedName name="in_L16_hi">Inputs!$M$45</definedName>
    <definedName name="in_L17">Inputs!$C$46</definedName>
    <definedName name="in_L17_lo">Inputs!$L$46</definedName>
    <definedName name="in_L17_hi">Inputs!$M$46</definedName>
    <definedName name="in_L18">Inputs!$C$47</definedName>
    <definedName name="in_L18_lo">Inputs!$L$47</definedName>
    <definedName name="in_L18_hi">Inputs!$M$47</definedName>
    <definedName name="in_L19">Inputs!$C$48</definedName>
    <definedName name="in_L20">Inputs!$C$49</definedName>
    <definedName name="in_L21">Inputs!$C$50</definedName>
    <definedName name="in_L22">Inputs!$C$51</definedName>
    <definedName name="in_L23">Inputs!$C$52</definedName>
    <definedName name="in_L24">Inputs!$C$53</definedName>
    <definedName name="in_L25">Inputs!$C$54</definedName>
    <definedName name="in_L26">Inputs!$C$55</definedName>
    <definedName name="in_L26_lo">Inputs!$L$55</definedName>
    <definedName name="in_L26_hi">Inputs!$M$55</definedName>
    <definedName name="in_L27">Inputs!$C$56</definedName>
    <definedName name="in_L28">Inputs!$C$57</definedName>
    <definedName name="in_L29">Inputs!$C$58</definedName>
    <definedName name="in_L30">Inputs!$C$59</definedName>
    <definedName name="in_L31">Inputs!$C$60</definedName>
    <definedName name="in_L32">Inputs!$C$61</definedName>
    <definedName name="in_I1">Inputs!$C$62</definedName>
    <definedName name="in_I2">Inputs!$C$63</definedName>
    <definedName name="in_I2_lo">Inputs!$L$63</definedName>
    <definedName name="in_I2_hi">Inputs!$M$63</definedName>
    <definedName name="in_I3">Inputs!$C$64</definedName>
    <definedName name="in_I3_lo">Inputs!$L$64</definedName>
    <definedName name="in_I3_hi">Inputs!$M$64</definedName>
    <definedName name="in_I4">Inputs!$C$65</definedName>
    <definedName name="in_I4_lo">Inputs!$L$65</definedName>
    <definedName name="in_I4_hi">Inputs!$M$65</definedName>
    <definedName name="in_I5">Inputs!$C$66</definedName>
    <definedName name="in_I5_lo">Inputs!$L$66</definedName>
    <definedName name="in_I5_hi">Inputs!$M$66</definedName>
    <definedName name="in_I6">Inputs!$C$67</definedName>
    <definedName name="in_I7">Inputs!$C$68</definedName>
    <definedName name="in_I8">Inputs!$C$69</definedName>
    <definedName name="in_I9">Inputs!$C$70</definedName>
    <definedName name="in_I10">Inputs!$C$71</definedName>
    <definedName name="in_I11">Inputs!$C$72</definedName>
    <definedName name="in_I12">Inputs!$C$73</definedName>
    <definedName name="in_I13">Inputs!$C$74</definedName>
    <definedName name="in_I13_lo">Inputs!$L$74</definedName>
    <definedName name="in_I13_hi">Inputs!$M$74</definedName>
    <definedName name="in_I14">Inputs!$C$75</definedName>
    <definedName name="in_I14_lo">Inputs!$L$75</definedName>
    <definedName name="in_I14_hi">Inputs!$M$75</definedName>
    <definedName name="in_I15">Inputs!$C$76</definedName>
    <definedName name="in_I16">Inputs!$C$77</definedName>
    <definedName name="in_I16_lo">Inputs!$L$77</definedName>
    <definedName name="in_I16_hi">Inputs!$M$77</definedName>
    <definedName name="in_W1">Inputs!$C$78</definedName>
    <definedName name="in_W2">Inputs!$C$79</definedName>
    <definedName name="in_W2_lo">Inputs!$L$79</definedName>
    <definedName name="in_W2_hi">Inputs!$M$79</definedName>
    <definedName name="in_W3">Inputs!$C$80</definedName>
    <definedName name="in_W3_lo">Inputs!$L$80</definedName>
    <definedName name="in_W3_hi">Inputs!$M$80</definedName>
    <definedName name="in_W4">Inputs!$C$81</definedName>
    <definedName name="in_W4_lo">Inputs!$L$81</definedName>
    <definedName name="in_W4_hi">Inputs!$M$81</definedName>
    <definedName name="in_W5">Inputs!$C$82</definedName>
    <definedName name="in_W5_lo">Inputs!$L$82</definedName>
    <definedName name="in_W5_hi">Inputs!$M$82</definedName>
    <definedName name="in_W6">Inputs!$C$83</definedName>
    <definedName name="in_W7">Inputs!$C$84</definedName>
    <definedName name="in_W8">Inputs!$C$85</definedName>
    <definedName name="in_W9">Inputs!$C$86</definedName>
    <definedName name="in_W10">Inputs!$C$87</definedName>
    <definedName name="in_W11">Inputs!$C$88</definedName>
    <definedName name="in_W12">Inputs!$C$89</definedName>
    <definedName name="in_W12_lo">Inputs!$L$89</definedName>
    <definedName name="in_W12_hi">Inputs!$M$89</definedName>
    <definedName name="in_W13">Inputs!$C$90</definedName>
    <definedName name="in_W14">Inputs!$C$91</definedName>
    <definedName name="in_W15">Inputs!$C$92</definedName>
    <definedName name="in_W16">Inputs!$C$93</definedName>
    <definedName name="in_W17">Inputs!$C$94</definedName>
    <definedName name="in_W18">Inputs!$C$95</definedName>
    <definedName name="in_W19">Inputs!$C$96</definedName>
    <definedName name="in_W20">Inputs!$C$97</definedName>
    <definedName name="in_F1">Inputs!$C$98</definedName>
    <definedName name="in_F1_lo">Inputs!$L$98</definedName>
    <definedName name="in_F1_hi">Inputs!$M$98</definedName>
    <definedName name="in_F2">Inputs!$C$99</definedName>
    <definedName name="in_F2_lo">Inputs!$L$99</definedName>
    <definedName name="in_F2_hi">Inputs!$M$99</definedName>
    <definedName name="in_F3">Inputs!$C$100</definedName>
    <definedName name="in_F3_lo">Inputs!$L$100</definedName>
    <definedName name="in_F3_hi">Inputs!$M$100</definedName>
    <definedName name="in_F4">Inputs!$C$101</definedName>
    <definedName name="in_F5">Inputs!$C$102</definedName>
    <definedName name="in_F6">Inputs!$C$103</definedName>
    <definedName name="in_F7">Inputs!$C$104</definedName>
    <definedName name="in_F8">Inputs!$C$105</definedName>
    <definedName name="in_F9">Inputs!$C$106</definedName>
    <definedName name="in_F10">Inputs!$C$107</definedName>
    <definedName name="in_F11">Inputs!$C$108</definedName>
    <definedName name="in_F11_lo">Inputs!$L$108</definedName>
    <definedName name="in_F11_hi">Inputs!$M$108</definedName>
    <definedName name="in_F12">Inputs!$C$109</definedName>
    <definedName name="in_F13">Inputs!$C$110</definedName>
    <definedName name="in_A1">Inputs!$C$111</definedName>
    <definedName name="in_A1_lo">Inputs!$L$111</definedName>
    <definedName name="in_A1_hi">Inputs!$M$111</definedName>
    <definedName name="in_A2">Inputs!$C$112</definedName>
    <definedName name="in_A2_lo">Inputs!$L$112</definedName>
    <definedName name="in_A2_hi">Inputs!$M$112</definedName>
    <definedName name="in_A3">Inputs!$C$113</definedName>
    <definedName name="in_A4">Inputs!$C$114</definedName>
    <definedName name="in_A5">Inputs!$C$115</definedName>
    <definedName name="in_A5_lo">Inputs!$L$115</definedName>
    <definedName name="in_A5_hi">Inputs!$M$115</definedName>
    <definedName name="in_A6">Inputs!$C$116</definedName>
    <definedName name="in_A6_lo">Inputs!$L$116</definedName>
    <definedName name="in_A6_hi">Inputs!$M$116</definedName>
    <definedName name="in_A7">Inputs!$C$117</definedName>
    <definedName name="in_A7_lo">Inputs!$L$117</definedName>
    <definedName name="in_A7_hi">Inputs!$M$117</definedName>
    <definedName name="in_A8">Inputs!$C$118</definedName>
    <definedName name="in_A8_lo">Inputs!$L$118</definedName>
    <definedName name="in_A8_hi">Inputs!$M$118</definedName>
    <definedName name="in_A9">Inputs!$C$119</definedName>
    <definedName name="in_A10">Inputs!$C$120</definedName>
    <definedName name="in_A11">Inputs!$C$121</definedName>
    <definedName name="in_A12">Inputs!$C$122</definedName>
    <definedName name="in_A12_lo">Inputs!$L$122</definedName>
    <definedName name="in_A12_hi">Inputs!$M$122</definedName>
    <definedName name="in_A13">Inputs!$C$123</definedName>
    <definedName name="in_A13_lo">Inputs!$L$123</definedName>
    <definedName name="in_A13_hi">Inputs!$M$123</definedName>
    <definedName name="in_A14">Inputs!$C$124</definedName>
    <definedName name="in_A15">Inputs!$C$125</definedName>
    <definedName name="in_A15_lo">Inputs!$L$125</definedName>
    <definedName name="in_A15_hi">Inputs!$M$125</definedName>
    <definedName name="in_A16">Inputs!$C$126</definedName>
    <definedName name="in_A16_lo">Inputs!$L$126</definedName>
    <definedName name="in_A16_hi">Inputs!$M$126</definedName>
    <definedName name="in_A17">Inputs!$C$127</definedName>
    <definedName name="in_A17_lo">Inputs!$L$127</definedName>
    <definedName name="in_A17_hi">Inputs!$M$127</definedName>
    <definedName name="in_A18">Inputs!$C$128</definedName>
    <definedName name="in_A18_lo">Inputs!$L$128</definedName>
    <definedName name="in_A18_hi">Inputs!$M$128</definedName>
    <definedName name="in_A19">Inputs!$C$129</definedName>
    <definedName name="in_A20">Inputs!$C$130</definedName>
    <definedName name="in_A20_lo">Inputs!$L$130</definedName>
    <definedName name="in_A20_hi">Inputs!$M$130</definedName>
    <definedName name="in_A21">Inputs!$C$131</definedName>
    <definedName name="in_A22">Inputs!$C$132</definedName>
    <definedName name="in_A23">Inputs!$C$133</definedName>
    <definedName name="in_A23_lo">Inputs!$L$133</definedName>
    <definedName name="in_A23_hi">Inputs!$M$133</definedName>
    <definedName name="in_A24">Inputs!$C$134</definedName>
    <definedName name="in_A24_lo">Inputs!$L$134</definedName>
    <definedName name="in_A24_hi">Inputs!$M$134</definedName>
    <definedName name="in_A25">Inputs!$C$135</definedName>
    <definedName name="in_A26">Inputs!$C$136</definedName>
    <definedName name="in_A26_lo">Inputs!$L$136</definedName>
    <definedName name="in_A26_hi">Inputs!$M$136</definedName>
    <definedName name="in_A27">Inputs!$C$137</definedName>
    <definedName name="in_A28">Inputs!$C$138</definedName>
    <definedName name="in_A29">Inputs!$C$139</definedName>
    <definedName name="in_A29_lo">Inputs!$L$139</definedName>
    <definedName name="in_A29_hi">Inputs!$M$139</definedName>
    <definedName name="in_A30">Inputs!$C$140</definedName>
    <definedName name="in_A31">Inputs!$C$141</definedName>
    <definedName name="in_A32">Inputs!$C$142</definedName>
    <definedName name="in_A33">Inputs!$C$143</definedName>
    <definedName name="in_A34">Inputs!$C$144</definedName>
    <definedName name="in_A35">Inputs!$C$145</definedName>
    <definedName name="in_A36">Inputs!$C$146</definedName>
    <definedName name="in_A36_lo">Inputs!$L$146</definedName>
    <definedName name="in_A36_hi">Inputs!$M$146</definedName>
    <definedName name="in_A37">Inputs!$C$147</definedName>
    <definedName name="in_G1">Inputs!$C$148</definedName>
    <definedName name="in_G2">Inputs!$C$149</definedName>
    <definedName name="in_G3">Inputs!$C$150</definedName>
    <definedName name="in_G4">Inputs!$C$151</definedName>
    <definedName name="in_G5">Inputs!$C$152</definedName>
    <definedName name="in_G6">Inputs!$C$153</definedName>
    <definedName name="in_G7">Inputs!$C$154</definedName>
    <definedName name="in_G8">Inputs!$C$155</definedName>
    <definedName name="in_G9">Inputs!$C$156</definedName>
    <definedName name="in_X1">Inputs!$C$157</definedName>
    <definedName name="in_X2">Inputs!$C$158</definedName>
    <definedName name="in_X3">Inputs!$C$159</definedName>
    <definedName name="in_X4">Inputs!$C$160</definedName>
    <definedName name="in_X5">Inputs!$C$161</definedName>
    <definedName name="in_X6">Inputs!$C$162</definedName>
    <definedName name="in_X7">Inputs!$C$163</definedName>
    <definedName name="in_X8">Inputs!$C$164</definedName>
    <definedName name="in_X9">Inputs!$C$165</definedName>
    <definedName name="in_X10">Inputs!$C$166</definedName>
    <definedName name="in_X11">Inputs!$C$167</definedName>
    <definedName name="in_X12">Inputs!$C$168</definedName>
    <definedName name="in_X13">Inputs!$C$169</definedName>
    <definedName name="in_X14">Inputs!$C$170</definedName>
    <definedName name="in_X15">Inputs!$C$171</definedName>
    <definedName name="in_X16">Inputs!$C$172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name val="Calibri"/>
      <family val="2"/>
      <color theme="1"/>
      <sz val="11"/>
      <scheme val="minor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12243E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2243E"/>
      </patternFill>
    </fill>
    <fill>
      <patternFill patternType="solid">
        <fgColor rgb="00FBE6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Effective UPI merchant fee by ticket size (share of value)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'EX2_Fee_ladder'!B29</f>
            </strRef>
          </tx>
          <spPr>
            <a:ln>
              <a:prstDash val="solid"/>
            </a:ln>
          </spPr>
          <cat>
            <numRef>
              <f>'EX2_Fee_ladder'!$A$30:$A$38</f>
            </numRef>
          </cat>
          <val>
            <numRef>
              <f>'EX2_Fee_ladder'!$B$30:$B$38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Effective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Return on assets: four lenders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'WE_F2_Lending'!B46</f>
            </strRef>
          </tx>
          <spPr>
            <a:ln>
              <a:prstDash val="solid"/>
            </a:ln>
          </spPr>
          <cat>
            <numRef>
              <f>'WE_F2_Lending'!$A$47:$A$50</f>
            </numRef>
          </cat>
          <val>
            <numRef>
              <f>'WE_F2_Lending'!$B$47:$B$50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Share price against issue price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'EX4_Exits'!B18</f>
            </strRef>
          </tx>
          <spPr>
            <a:ln>
              <a:prstDash val="solid"/>
            </a:ln>
          </spPr>
          <cat>
            <numRef>
              <f>'EX4_Exits'!$A$19:$A$24</f>
            </numRef>
          </cat>
          <val>
            <numRef>
              <f>'EX4_Exits'!$B$19:$B$24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27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44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16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JSW Ventures R2 workbook v7. Built 5 Oct 2026 by script (build/build_workbook.py from build/spec_v7.py).</t>
        </is>
      </c>
    </row>
    <row r="2">
      <c r="A2" s="1" t="inlineStr">
        <is>
          <t>Flow: Inputs (every figure with source, URL, date, claim type, confidence, status) -&gt; WE_ sheets (one worked revenue and cost example per sub-sector, formulas only) -&gt; EX_ sheets (exhibit data, formulas only) -&gt; Check (typed numbers outside Inputs must be 0).</t>
        </is>
      </c>
    </row>
    <row r="3">
      <c r="A3" s="1" t="inlineStr">
        <is>
          <t>Colour code: blue = typed input (Inputs sheet only). Black = formula. Amber fill = assumption with a range. Red fill = not found, left blank.</t>
        </is>
      </c>
    </row>
    <row r="4">
      <c r="A4" s="1" t="inlineStr">
        <is>
          <t>Tags: verified = primary or reputable secondary source opened and figure matched; assumption = no source, range stated; scenario = an illustrative size chosen for the worked example (a Rs 10,000 payment, a Rs 20,000 policy), not a market fact; derived = computed by formula.</t>
        </is>
      </c>
    </row>
    <row r="5">
      <c r="A5" s="1" t="inlineStr">
        <is>
          <t>Terms: MDR = merchant discount rate, the fee deducted from what a merchant receives. P2M = person to merchant. Yield = interest and fees earned as a share of loans. Cost of funds = interest paid on borrowings as a share of borrowings. Credit cost = loan losses and provisions as a share of loans. Opex to AUM = operating cost as a share of loans. ROA = profit as a share of assets. Persistency = share of policies renewed. Trail = recurring commission on assets. NRR = net revenue retention, revenue from last year's customers this year over last year.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8" customWidth="1" min="2" max="2"/>
    <col width="12" customWidth="1" min="3" max="3"/>
    <col width="16" customWidth="1" min="4" max="4"/>
    <col width="14" customWidth="1" min="5" max="5"/>
    <col width="34" customWidth="1" min="6" max="6"/>
    <col width="40" customWidth="1" min="7" max="7"/>
    <col width="12" customWidth="1" min="8" max="8"/>
    <col width="12" customWidth="1" min="9" max="9"/>
    <col width="10" customWidth="1" min="10" max="10"/>
    <col width="11" customWidth="1" min="11" max="11"/>
    <col width="10" customWidth="1" min="12" max="12"/>
    <col width="10" customWidth="1" min="13" max="13"/>
    <col width="60" customWidth="1" min="14" max="14"/>
  </cols>
  <sheetData>
    <row r="1">
      <c r="A1" s="2" t="inlineStr">
        <is>
          <t>JSW R2 inputs v7. Blue = typed input. Every figure carries its source, URL, date, claim type and confidence. Status: verified, assumption (with range), derived, not_found (left blank).</t>
        </is>
      </c>
    </row>
    <row r="3">
      <c r="A3" s="3" t="inlineStr">
        <is>
          <t>ID</t>
        </is>
      </c>
      <c r="B3" s="3" t="inlineStr">
        <is>
          <t>Metric</t>
        </is>
      </c>
      <c r="C3" s="3" t="inlineStr">
        <is>
          <t>Figure</t>
        </is>
      </c>
      <c r="D3" s="3" t="inlineStr">
        <is>
          <t>Unit</t>
        </is>
      </c>
      <c r="E3" s="3" t="inlineStr">
        <is>
          <t>Period</t>
        </is>
      </c>
      <c r="F3" s="3" t="inlineStr">
        <is>
          <t>Source</t>
        </is>
      </c>
      <c r="G3" s="3" t="inlineStr">
        <is>
          <t>URL</t>
        </is>
      </c>
      <c r="H3" s="3" t="inlineStr">
        <is>
          <t>Source date</t>
        </is>
      </c>
      <c r="I3" s="3" t="inlineStr">
        <is>
          <t>Claim type</t>
        </is>
      </c>
      <c r="J3" s="3" t="inlineStr">
        <is>
          <t>Confidence</t>
        </is>
      </c>
      <c r="K3" s="3" t="inlineStr">
        <is>
          <t>Status</t>
        </is>
      </c>
      <c r="L3" s="3" t="inlineStr">
        <is>
          <t>Range low</t>
        </is>
      </c>
      <c r="M3" s="3" t="inlineStr">
        <is>
          <t>Range high</t>
        </is>
      </c>
      <c r="N3" s="3" t="inlineStr">
        <is>
          <t>Note</t>
        </is>
      </c>
    </row>
    <row r="4">
      <c r="A4" s="4" t="inlineStr">
        <is>
          <t>P1</t>
        </is>
      </c>
      <c r="B4" s="4" t="inlineStr">
        <is>
          <t>UPI P2M MDR rate on transactions above the threshold</t>
        </is>
      </c>
      <c r="C4" s="5" t="n">
        <v>0.004</v>
      </c>
      <c r="D4" s="4" t="inlineStr">
        <is>
          <t>share of value</t>
        </is>
      </c>
      <c r="E4" s="4" t="inlineStr">
        <is>
          <t>from 15 Oct 2026</t>
        </is>
      </c>
      <c r="F4" s="4" t="inlineStr">
        <is>
          <t>NPCI FAQ, MDR on Select UPI (P2M) Transactions, 15 Sep 2026 (quoted by SCC Online, 16 Sep 2026)</t>
        </is>
      </c>
      <c r="G4" s="4" t="inlineStr">
        <is>
          <t>https://www.scconline.com/blog/post/2026/09/16/npci-released-upi-mdr-faqs-explained/</t>
        </is>
      </c>
      <c r="H4" s="4" t="inlineStr">
        <is>
          <t>2026-09-15</t>
        </is>
      </c>
      <c r="I4" s="4" t="inlineStr">
        <is>
          <t>regulator</t>
        </is>
      </c>
      <c r="J4" s="4" t="inlineStr">
        <is>
          <t>H</t>
        </is>
      </c>
      <c r="K4" s="4" t="inlineStr">
        <is>
          <t>verified</t>
        </is>
      </c>
      <c r="L4" s="4" t="n"/>
      <c r="M4" s="4" t="n"/>
      <c r="N4" s="4" t="inlineStr"/>
    </row>
    <row r="5">
      <c r="A5" s="4" t="inlineStr">
        <is>
          <t>P2</t>
        </is>
      </c>
      <c r="B5" s="4" t="inlineStr">
        <is>
          <t>MDR applies only above this ticket size</t>
        </is>
      </c>
      <c r="C5" s="5" t="n">
        <v>2000</v>
      </c>
      <c r="D5" s="4" t="inlineStr">
        <is>
          <t>INR</t>
        </is>
      </c>
      <c r="E5" s="4" t="inlineStr">
        <is>
          <t>from 15 Oct 2026</t>
        </is>
      </c>
      <c r="F5" s="4" t="inlineStr">
        <is>
          <t>NPCI FAQ, MDR on Select UPI (P2M) Transactions, 15 Sep 2026 (quoted by SCC Online, 16 Sep 2026)</t>
        </is>
      </c>
      <c r="G5" s="4" t="inlineStr">
        <is>
          <t>https://www.scconline.com/blog/post/2026/09/16/npci-released-upi-mdr-faqs-explained/</t>
        </is>
      </c>
      <c r="H5" s="4" t="inlineStr">
        <is>
          <t>2026-09-15</t>
        </is>
      </c>
      <c r="I5" s="4" t="inlineStr">
        <is>
          <t>regulator</t>
        </is>
      </c>
      <c r="J5" s="4" t="inlineStr">
        <is>
          <t>H</t>
        </is>
      </c>
      <c r="K5" s="4" t="inlineStr">
        <is>
          <t>verified</t>
        </is>
      </c>
      <c r="L5" s="4" t="n"/>
      <c r="M5" s="4" t="n"/>
      <c r="N5" s="4" t="inlineStr"/>
    </row>
    <row r="6">
      <c r="A6" s="4" t="inlineStr">
        <is>
          <t>P3</t>
        </is>
      </c>
      <c r="B6" s="4" t="inlineStr">
        <is>
          <t>MDR cap per transaction</t>
        </is>
      </c>
      <c r="C6" s="5" t="n">
        <v>300</v>
      </c>
      <c r="D6" s="4" t="inlineStr">
        <is>
          <t>INR</t>
        </is>
      </c>
      <c r="E6" s="4" t="inlineStr">
        <is>
          <t>from 15 Oct 2026</t>
        </is>
      </c>
      <c r="F6" s="4" t="inlineStr">
        <is>
          <t>NPCI FAQ, MDR on Select UPI (P2M) Transactions, 15 Sep 2026 (quoted by SCC Online, 16 Sep 2026)</t>
        </is>
      </c>
      <c r="G6" s="4" t="inlineStr">
        <is>
          <t>https://www.scconline.com/blog/post/2026/09/16/npci-released-upi-mdr-faqs-explained/</t>
        </is>
      </c>
      <c r="H6" s="4" t="inlineStr">
        <is>
          <t>2026-09-15</t>
        </is>
      </c>
      <c r="I6" s="4" t="inlineStr">
        <is>
          <t>regulator</t>
        </is>
      </c>
      <c r="J6" s="4" t="inlineStr">
        <is>
          <t>H</t>
        </is>
      </c>
      <c r="K6" s="4" t="inlineStr">
        <is>
          <t>verified</t>
        </is>
      </c>
      <c r="L6" s="4" t="n"/>
      <c r="M6" s="4" t="n"/>
      <c r="N6" s="4" t="inlineStr">
        <is>
          <t>Cap binds at Rs 75,000 (300 / 0.004).</t>
        </is>
      </c>
    </row>
    <row r="7">
      <c r="A7" s="4" t="inlineStr">
        <is>
          <t>P4</t>
        </is>
      </c>
      <c r="B7" s="4" t="inlineStr">
        <is>
          <t>Flat MDR for notified categories (railways, telecom, insurance, fuel) above Rs 2,000</t>
        </is>
      </c>
      <c r="C7" s="5" t="n">
        <v>5</v>
      </c>
      <c r="D7" s="4" t="inlineStr">
        <is>
          <t>INR per transaction</t>
        </is>
      </c>
      <c r="E7" s="4" t="inlineStr">
        <is>
          <t>from 15 Oct 2026</t>
        </is>
      </c>
      <c r="F7" s="4" t="inlineStr">
        <is>
          <t>NPCI FAQ, MDR on Select UPI (P2M) Transactions, 15 Sep 2026 (quoted by SCC Online, 16 Sep 2026) as quoted; Business Today 22 Sep 2026</t>
        </is>
      </c>
      <c r="G7" s="4" t="inlineStr">
        <is>
          <t>https://www.scconline.com/blog/post/2026/09/16/npci-released-upi-mdr-faqs-explained/</t>
        </is>
      </c>
      <c r="H7" s="4" t="inlineStr">
        <is>
          <t>2026-09-15</t>
        </is>
      </c>
      <c r="I7" s="4" t="inlineStr">
        <is>
          <t>secondary</t>
        </is>
      </c>
      <c r="J7" s="4" t="inlineStr">
        <is>
          <t>M</t>
        </is>
      </c>
      <c r="K7" s="4" t="inlineStr">
        <is>
          <t>verified</t>
        </is>
      </c>
      <c r="L7" s="4" t="n"/>
      <c r="M7" s="4" t="n"/>
      <c r="N7" s="4" t="inlineStr">
        <is>
          <t>Not in the FAQ text the author read; two secondary sources quote it.</t>
        </is>
      </c>
    </row>
    <row r="8">
      <c r="A8" s="4" t="inlineStr">
        <is>
          <t>P5</t>
        </is>
      </c>
      <c r="B8" s="4" t="inlineStr">
        <is>
          <t>Share of UPI merchant (P2M) transactions at or below Rs 2,000</t>
        </is>
      </c>
      <c r="C8" s="5" t="n">
        <v>0.95</v>
      </c>
      <c r="D8" s="4" t="inlineStr">
        <is>
          <t>share of P2M volume</t>
        </is>
      </c>
      <c r="E8" s="4" t="inlineStr">
        <is>
          <t>Sep 2026</t>
        </is>
      </c>
      <c r="F8" s="4" t="inlineStr">
        <is>
          <t>NPCI FAQ, MDR on Select UPI (P2M) Transactions, 15 Sep 2026 (quoted by SCC Online, 16 Sep 2026) ('more than 95%')</t>
        </is>
      </c>
      <c r="G8" s="4" t="inlineStr">
        <is>
          <t>https://www.scconline.com/blog/post/2026/09/16/npci-released-upi-mdr-faqs-explained/</t>
        </is>
      </c>
      <c r="H8" s="4" t="inlineStr">
        <is>
          <t>2026-09-15</t>
        </is>
      </c>
      <c r="I8" s="4" t="inlineStr">
        <is>
          <t>regulator</t>
        </is>
      </c>
      <c r="J8" s="4" t="inlineStr">
        <is>
          <t>H</t>
        </is>
      </c>
      <c r="K8" s="4" t="inlineStr">
        <is>
          <t>verified</t>
        </is>
      </c>
      <c r="L8" s="4" t="n"/>
      <c r="M8" s="4" t="n"/>
      <c r="N8" s="4" t="inlineStr">
        <is>
          <t>Base is merchant volume by count, not all UPI and not value.</t>
        </is>
      </c>
    </row>
    <row r="9">
      <c r="A9" s="4" t="inlineStr">
        <is>
          <t>P6</t>
        </is>
      </c>
      <c r="B9" s="4" t="inlineStr">
        <is>
          <t>UPI transactions, September 2026</t>
        </is>
      </c>
      <c r="C9" s="5" t="n">
        <v>24068.38</v>
      </c>
      <c r="D9" s="4" t="inlineStr">
        <is>
          <t>million</t>
        </is>
      </c>
      <c r="E9" s="4" t="inlineStr">
        <is>
          <t>Sep 2026</t>
        </is>
      </c>
      <c r="F9" s="4" t="inlineStr">
        <is>
          <t>NPCI UPI product statistics</t>
        </is>
      </c>
      <c r="G9" s="4" t="inlineStr">
        <is>
          <t>https://www.npci.org.in/what-we-do/upi/product-statistics</t>
        </is>
      </c>
      <c r="H9" s="4" t="inlineStr">
        <is>
          <t>2026-10-01</t>
        </is>
      </c>
      <c r="I9" s="4" t="inlineStr">
        <is>
          <t>regulator</t>
        </is>
      </c>
      <c r="J9" s="4" t="inlineStr">
        <is>
          <t>H</t>
        </is>
      </c>
      <c r="K9" s="4" t="inlineStr">
        <is>
          <t>verified</t>
        </is>
      </c>
      <c r="L9" s="4" t="n"/>
      <c r="M9" s="4" t="n"/>
      <c r="N9" s="4" t="inlineStr">
        <is>
          <t>Aug 2026: 24,510 mn; first month-on-month dip in a year.</t>
        </is>
      </c>
    </row>
    <row r="10">
      <c r="A10" s="4" t="inlineStr">
        <is>
          <t>P7</t>
        </is>
      </c>
      <c r="B10" s="4" t="inlineStr">
        <is>
          <t>UPI value, September 2026</t>
        </is>
      </c>
      <c r="C10" s="5" t="n">
        <v>2937396.67</v>
      </c>
      <c r="D10" s="4" t="inlineStr">
        <is>
          <t>INR crore</t>
        </is>
      </c>
      <c r="E10" s="4" t="inlineStr">
        <is>
          <t>Sep 2026</t>
        </is>
      </c>
      <c r="F10" s="4" t="inlineStr">
        <is>
          <t>NPCI UPI product statistics</t>
        </is>
      </c>
      <c r="G10" s="4" t="inlineStr">
        <is>
          <t>https://www.npci.org.in/what-we-do/upi/product-statistics</t>
        </is>
      </c>
      <c r="H10" s="4" t="inlineStr">
        <is>
          <t>2026-10-01</t>
        </is>
      </c>
      <c r="I10" s="4" t="inlineStr">
        <is>
          <t>regulator</t>
        </is>
      </c>
      <c r="J10" s="4" t="inlineStr">
        <is>
          <t>H</t>
        </is>
      </c>
      <c r="K10" s="4" t="inlineStr">
        <is>
          <t>verified</t>
        </is>
      </c>
      <c r="L10" s="4" t="n"/>
      <c r="M10" s="4" t="n"/>
      <c r="N10" s="4" t="inlineStr"/>
    </row>
    <row r="11">
      <c r="A11" s="4" t="inlineStr">
        <is>
          <t>P8</t>
        </is>
      </c>
      <c r="B11" s="4" t="inlineStr">
        <is>
          <t>Credit card MDR in India, low end</t>
        </is>
      </c>
      <c r="C11" s="5" t="n">
        <v>0.015</v>
      </c>
      <c r="D11" s="4" t="inlineStr">
        <is>
          <t>share of value</t>
        </is>
      </c>
      <c r="E11" s="4" t="inlineStr">
        <is>
          <t>2026</t>
        </is>
      </c>
      <c r="F11" s="4" t="inlineStr">
        <is>
          <t>NPCI FAQ, MDR on Select UPI (P2M) Transactions, 15 Sep 2026 (quoted by SCC Online, 16 Sep 2026) Q4</t>
        </is>
      </c>
      <c r="G11" s="4" t="inlineStr">
        <is>
          <t>https://www.scconline.com/blog/post/2026/09/16/npci-released-upi-mdr-faqs-explained/</t>
        </is>
      </c>
      <c r="H11" s="4" t="inlineStr">
        <is>
          <t>2026-09-15</t>
        </is>
      </c>
      <c r="I11" s="4" t="inlineStr">
        <is>
          <t>regulator</t>
        </is>
      </c>
      <c r="J11" s="4" t="inlineStr">
        <is>
          <t>M</t>
        </is>
      </c>
      <c r="K11" s="4" t="inlineStr">
        <is>
          <t>verified</t>
        </is>
      </c>
      <c r="L11" s="4" t="n"/>
      <c r="M11" s="4" t="n"/>
      <c r="N11" s="4" t="inlineStr"/>
    </row>
    <row r="12">
      <c r="A12" s="4" t="inlineStr">
        <is>
          <t>P9</t>
        </is>
      </c>
      <c r="B12" s="4" t="inlineStr">
        <is>
          <t>Credit card MDR in India, high end</t>
        </is>
      </c>
      <c r="C12" s="5" t="n">
        <v>0.025</v>
      </c>
      <c r="D12" s="4" t="inlineStr">
        <is>
          <t>share of value</t>
        </is>
      </c>
      <c r="E12" s="4" t="inlineStr">
        <is>
          <t>2026</t>
        </is>
      </c>
      <c r="F12" s="4" t="inlineStr">
        <is>
          <t>NPCI FAQ, MDR on Select UPI (P2M) Transactions, 15 Sep 2026 (quoted by SCC Online, 16 Sep 2026) Q4</t>
        </is>
      </c>
      <c r="G12" s="4" t="inlineStr">
        <is>
          <t>https://www.scconline.com/blog/post/2026/09/16/npci-released-upi-mdr-faqs-explained/</t>
        </is>
      </c>
      <c r="H12" s="4" t="inlineStr">
        <is>
          <t>2026-09-15</t>
        </is>
      </c>
      <c r="I12" s="4" t="inlineStr">
        <is>
          <t>regulator</t>
        </is>
      </c>
      <c r="J12" s="4" t="inlineStr">
        <is>
          <t>M</t>
        </is>
      </c>
      <c r="K12" s="4" t="inlineStr">
        <is>
          <t>verified</t>
        </is>
      </c>
      <c r="L12" s="4" t="n"/>
      <c r="M12" s="4" t="n"/>
      <c r="N12" s="4" t="inlineStr"/>
    </row>
    <row r="13">
      <c r="A13" s="4" t="inlineStr">
        <is>
          <t>P10</t>
        </is>
      </c>
      <c r="B13" s="4" t="inlineStr">
        <is>
          <t>Debit card MDR cap in India</t>
        </is>
      </c>
      <c r="C13" s="5" t="n">
        <v>0.008999999999999999</v>
      </c>
      <c r="D13" s="4" t="inlineStr">
        <is>
          <t>share of value</t>
        </is>
      </c>
      <c r="E13" s="4" t="inlineStr">
        <is>
          <t>2026</t>
        </is>
      </c>
      <c r="F13" s="4" t="inlineStr">
        <is>
          <t>NPCI FAQ, MDR on Select UPI (P2M) Transactions, 15 Sep 2026 (quoted by SCC Online, 16 Sep 2026)</t>
        </is>
      </c>
      <c r="G13" s="4" t="inlineStr">
        <is>
          <t>https://www.scconline.com/blog/post/2026/09/16/npci-released-upi-mdr-faqs-explained/</t>
        </is>
      </c>
      <c r="H13" s="4" t="inlineStr">
        <is>
          <t>2026-09-15</t>
        </is>
      </c>
      <c r="I13" s="4" t="inlineStr">
        <is>
          <t>regulator</t>
        </is>
      </c>
      <c r="J13" s="4" t="inlineStr">
        <is>
          <t>M</t>
        </is>
      </c>
      <c r="K13" s="4" t="inlineStr">
        <is>
          <t>verified</t>
        </is>
      </c>
      <c r="L13" s="4" t="n"/>
      <c r="M13" s="4" t="n"/>
      <c r="N13" s="4" t="inlineStr"/>
    </row>
    <row r="14">
      <c r="A14" s="4" t="inlineStr">
        <is>
          <t>P11</t>
        </is>
      </c>
      <c r="B14" s="4" t="inlineStr">
        <is>
          <t>US debit interchange, average, all transactions, 2024</t>
        </is>
      </c>
      <c r="C14" s="5" t="n">
        <v>0.0073</v>
      </c>
      <c r="D14" s="4" t="inlineStr">
        <is>
          <t>share of value</t>
        </is>
      </c>
      <c r="E14" s="4" t="inlineStr">
        <is>
          <t>2024</t>
        </is>
      </c>
      <c r="F14" s="4" t="inlineStr">
        <is>
          <t>Federal Reserve, Regulation II average interchange fee table</t>
        </is>
      </c>
      <c r="G14" s="4" t="inlineStr">
        <is>
          <t>https://www.federalreserve.gov/paymentsystems/regii-average-interchange-fee.htm</t>
        </is>
      </c>
      <c r="H14" s="4" t="inlineStr">
        <is>
          <t>2025</t>
        </is>
      </c>
      <c r="I14" s="4" t="inlineStr">
        <is>
          <t>regulator</t>
        </is>
      </c>
      <c r="J14" s="4" t="inlineStr">
        <is>
          <t>H</t>
        </is>
      </c>
      <c r="K14" s="4" t="inlineStr">
        <is>
          <t>verified</t>
        </is>
      </c>
      <c r="L14" s="4" t="n"/>
      <c r="M14" s="4" t="n"/>
      <c r="N14" s="4" t="inlineStr">
        <is>
          <t>v6 exhibit showed 0.79%; the Fed's 2024 all-transactions row is 0.73%.</t>
        </is>
      </c>
    </row>
    <row r="15">
      <c r="A15" s="4" t="inlineStr">
        <is>
          <t>P12a</t>
        </is>
      </c>
      <c r="B15" s="4" t="inlineStr">
        <is>
          <t>PhonePe share of UPI volume, Aug 2026</t>
        </is>
      </c>
      <c r="C15" s="5" t="n">
        <v>0.459</v>
      </c>
      <c r="D15" s="4" t="inlineStr">
        <is>
          <t>share</t>
        </is>
      </c>
      <c r="E15" s="4" t="inlineStr">
        <is>
          <t>Aug 2026</t>
        </is>
      </c>
      <c r="F15" s="4" t="inlineStr">
        <is>
          <t>NPCI app-wise statistics via Inc42</t>
        </is>
      </c>
      <c r="G15" s="4" t="inlineStr">
        <is>
          <t>https://inc42.com/buzz/upi-in-august-navis-market-share-climbs-to-4-4-phonepe-google-pay-paytm/</t>
        </is>
      </c>
      <c r="H15" s="4" t="inlineStr">
        <is>
          <t>2026-09</t>
        </is>
      </c>
      <c r="I15" s="4" t="inlineStr">
        <is>
          <t>regulator via secondary</t>
        </is>
      </c>
      <c r="J15" s="4" t="inlineStr">
        <is>
          <t>M</t>
        </is>
      </c>
      <c r="K15" s="4" t="inlineStr">
        <is>
          <t>verified</t>
        </is>
      </c>
      <c r="L15" s="4" t="n"/>
      <c r="M15" s="4" t="n"/>
      <c r="N15" s="4" t="inlineStr"/>
    </row>
    <row r="16">
      <c r="A16" s="4" t="inlineStr">
        <is>
          <t>P12b</t>
        </is>
      </c>
      <c r="B16" s="4" t="inlineStr">
        <is>
          <t>Google Pay share of UPI volume, Aug 2026</t>
        </is>
      </c>
      <c r="C16" s="5" t="n">
        <v>0.324</v>
      </c>
      <c r="D16" s="4" t="inlineStr">
        <is>
          <t>share</t>
        </is>
      </c>
      <c r="E16" s="4" t="inlineStr">
        <is>
          <t>Aug 2026</t>
        </is>
      </c>
      <c r="F16" s="4" t="inlineStr">
        <is>
          <t>NPCI app-wise statistics via Inc42</t>
        </is>
      </c>
      <c r="G16" s="4" t="inlineStr">
        <is>
          <t>https://inc42.com/buzz/upi-in-august-navis-market-share-climbs-to-4-4-phonepe-google-pay-paytm/</t>
        </is>
      </c>
      <c r="H16" s="4" t="inlineStr">
        <is>
          <t>2026-09</t>
        </is>
      </c>
      <c r="I16" s="4" t="inlineStr">
        <is>
          <t>regulator via secondary</t>
        </is>
      </c>
      <c r="J16" s="4" t="inlineStr">
        <is>
          <t>M</t>
        </is>
      </c>
      <c r="K16" s="4" t="inlineStr">
        <is>
          <t>verified</t>
        </is>
      </c>
      <c r="L16" s="4" t="n"/>
      <c r="M16" s="4" t="n"/>
      <c r="N16" s="4" t="inlineStr"/>
    </row>
    <row r="17">
      <c r="A17" s="4" t="inlineStr">
        <is>
          <t>P12c</t>
        </is>
      </c>
      <c r="B17" s="4" t="inlineStr">
        <is>
          <t>Paytm share of UPI volume, Aug 2026</t>
        </is>
      </c>
      <c r="C17" s="5" t="n">
        <v>0.081</v>
      </c>
      <c r="D17" s="4" t="inlineStr">
        <is>
          <t>share</t>
        </is>
      </c>
      <c r="E17" s="4" t="inlineStr">
        <is>
          <t>Aug 2026</t>
        </is>
      </c>
      <c r="F17" s="4" t="inlineStr">
        <is>
          <t>NPCI app-wise statistics via Inc42</t>
        </is>
      </c>
      <c r="G17" s="4" t="inlineStr">
        <is>
          <t>https://inc42.com/buzz/upi-in-august-navis-market-share-climbs-to-4-4-phonepe-google-pay-paytm/</t>
        </is>
      </c>
      <c r="H17" s="4" t="inlineStr">
        <is>
          <t>2026-09</t>
        </is>
      </c>
      <c r="I17" s="4" t="inlineStr">
        <is>
          <t>regulator via secondary</t>
        </is>
      </c>
      <c r="J17" s="4" t="inlineStr">
        <is>
          <t>M</t>
        </is>
      </c>
      <c r="K17" s="4" t="inlineStr">
        <is>
          <t>verified</t>
        </is>
      </c>
      <c r="L17" s="4" t="n"/>
      <c r="M17" s="4" t="n"/>
      <c r="N17" s="4" t="inlineStr"/>
    </row>
    <row r="18">
      <c r="A18" s="4" t="inlineStr">
        <is>
          <t>P13</t>
        </is>
      </c>
      <c r="B18" s="4" t="inlineStr">
        <is>
          <t>Paytm revenue, Q1 FY27</t>
        </is>
      </c>
      <c r="C18" s="5" t="n">
        <v>2448</v>
      </c>
      <c r="D18" s="4" t="inlineStr">
        <is>
          <t>INR crore</t>
        </is>
      </c>
      <c r="E18" s="4" t="inlineStr">
        <is>
          <t>Apr-Jun 2026</t>
        </is>
      </c>
      <c r="F18" s="4" t="inlineStr">
        <is>
          <t>Business Standard, Paytm Q1 FY27 results</t>
        </is>
      </c>
      <c r="G18" s="4" t="inlineStr">
        <is>
          <t>https://www.business-standard.com/companies/quarterly-results/paytm-posts-220-crore-net-profit-in-q1-revenue-from-operations-up-27-6-126072001538_1.html</t>
        </is>
      </c>
      <c r="H18" s="4" t="inlineStr">
        <is>
          <t>2026-07-20</t>
        </is>
      </c>
      <c r="I18" s="4" t="inlineStr">
        <is>
          <t>filing via daily</t>
        </is>
      </c>
      <c r="J18" s="4" t="inlineStr">
        <is>
          <t>H</t>
        </is>
      </c>
      <c r="K18" s="4" t="inlineStr">
        <is>
          <t>verified</t>
        </is>
      </c>
      <c r="L18" s="4" t="n"/>
      <c r="M18" s="4" t="n"/>
      <c r="N18" s="4" t="inlineStr"/>
    </row>
    <row r="19">
      <c r="A19" s="4" t="inlineStr">
        <is>
          <t>P14</t>
        </is>
      </c>
      <c r="B19" s="4" t="inlineStr">
        <is>
          <t>Paytm PAT, Q1 FY27</t>
        </is>
      </c>
      <c r="C19" s="5" t="n">
        <v>220</v>
      </c>
      <c r="D19" s="4" t="inlineStr">
        <is>
          <t>INR crore</t>
        </is>
      </c>
      <c r="E19" s="4" t="inlineStr">
        <is>
          <t>Apr-Jun 2026</t>
        </is>
      </c>
      <c r="F19" s="4" t="inlineStr">
        <is>
          <t>Business Standard</t>
        </is>
      </c>
      <c r="G19" s="4" t="inlineStr">
        <is>
          <t>https://www.business-standard.com/companies/quarterly-results/paytm-posts-220-crore-net-profit-in-q1-revenue-from-operations-up-27-6-126072001538_1.html</t>
        </is>
      </c>
      <c r="H19" s="4" t="inlineStr">
        <is>
          <t>2026-07-20</t>
        </is>
      </c>
      <c r="I19" s="4" t="inlineStr">
        <is>
          <t>filing via daily</t>
        </is>
      </c>
      <c r="J19" s="4" t="inlineStr">
        <is>
          <t>H</t>
        </is>
      </c>
      <c r="K19" s="4" t="inlineStr">
        <is>
          <t>verified</t>
        </is>
      </c>
      <c r="L19" s="4" t="n"/>
      <c r="M19" s="4" t="n"/>
      <c r="N19" s="4" t="inlineStr"/>
    </row>
    <row r="20">
      <c r="A20" s="4" t="inlineStr">
        <is>
          <t>P15</t>
        </is>
      </c>
      <c r="B20" s="4" t="inlineStr">
        <is>
          <t>Pine Labs PAT, Q1 FY27</t>
        </is>
      </c>
      <c r="C20" s="5" t="n">
        <v>20</v>
      </c>
      <c r="D20" s="4" t="inlineStr">
        <is>
          <t>INR crore</t>
        </is>
      </c>
      <c r="E20" s="4" t="inlineStr">
        <is>
          <t>Apr-Jun 2026</t>
        </is>
      </c>
      <c r="F20" s="4" t="inlineStr">
        <is>
          <t>INDmoney company page</t>
        </is>
      </c>
      <c r="G20" s="4" t="inlineStr">
        <is>
          <t>https://www.indmoney.com/stocks/pine-labs-ltd-share-price</t>
        </is>
      </c>
      <c r="H20" s="4" t="inlineStr">
        <is>
          <t>2026-10-01</t>
        </is>
      </c>
      <c r="I20" s="4" t="inlineStr">
        <is>
          <t>secondary</t>
        </is>
      </c>
      <c r="J20" s="4" t="inlineStr">
        <is>
          <t>M</t>
        </is>
      </c>
      <c r="K20" s="4" t="inlineStr">
        <is>
          <t>verified</t>
        </is>
      </c>
      <c r="L20" s="4" t="n"/>
      <c r="M20" s="4" t="n"/>
      <c r="N20" s="4" t="inlineStr"/>
    </row>
    <row r="21">
      <c r="A21" s="4" t="inlineStr">
        <is>
          <t>P16</t>
        </is>
      </c>
      <c r="B21" s="4" t="inlineStr">
        <is>
          <t>Pine Labs IPO issue price</t>
        </is>
      </c>
      <c r="C21" s="5" t="n">
        <v>221</v>
      </c>
      <c r="D21" s="4" t="inlineStr">
        <is>
          <t>INR per share</t>
        </is>
      </c>
      <c r="E21" s="4" t="inlineStr">
        <is>
          <t>Nov 2025</t>
        </is>
      </c>
      <c r="F21" s="4" t="inlineStr">
        <is>
          <t>INDmoney</t>
        </is>
      </c>
      <c r="G21" s="4" t="inlineStr">
        <is>
          <t>https://www.indmoney.com/stocks/pine-labs-ltd-share-price</t>
        </is>
      </c>
      <c r="H21" s="4" t="inlineStr">
        <is>
          <t>2025-11</t>
        </is>
      </c>
      <c r="I21" s="4" t="inlineStr">
        <is>
          <t>exchange</t>
        </is>
      </c>
      <c r="J21" s="4" t="inlineStr">
        <is>
          <t>M</t>
        </is>
      </c>
      <c r="K21" s="4" t="inlineStr">
        <is>
          <t>verified</t>
        </is>
      </c>
      <c r="L21" s="4" t="n"/>
      <c r="M21" s="4" t="n"/>
      <c r="N21" s="4" t="inlineStr"/>
    </row>
    <row r="22">
      <c r="A22" s="4" t="inlineStr">
        <is>
          <t>P17</t>
        </is>
      </c>
      <c r="B22" s="4" t="inlineStr">
        <is>
          <t>Pine Labs share price, 1 Oct 2026</t>
        </is>
      </c>
      <c r="C22" s="5" t="n">
        <v>171.45</v>
      </c>
      <c r="D22" s="4" t="inlineStr">
        <is>
          <t>INR per share</t>
        </is>
      </c>
      <c r="E22" s="4" t="inlineStr">
        <is>
          <t>2026-10-01</t>
        </is>
      </c>
      <c r="F22" s="4" t="inlineStr">
        <is>
          <t>INDmoney</t>
        </is>
      </c>
      <c r="G22" s="4" t="inlineStr">
        <is>
          <t>https://www.indmoney.com/stocks/pine-labs-ltd-share-price</t>
        </is>
      </c>
      <c r="H22" s="4" t="inlineStr">
        <is>
          <t>2026-10-01</t>
        </is>
      </c>
      <c r="I22" s="4" t="inlineStr">
        <is>
          <t>exchange</t>
        </is>
      </c>
      <c r="J22" s="4" t="inlineStr">
        <is>
          <t>M</t>
        </is>
      </c>
      <c r="K22" s="4" t="inlineStr">
        <is>
          <t>verified</t>
        </is>
      </c>
      <c r="L22" s="4" t="n"/>
      <c r="M22" s="4" t="n"/>
      <c r="N22" s="4" t="inlineStr"/>
    </row>
    <row r="23">
      <c r="A23" s="4" t="inlineStr">
        <is>
          <t>P18</t>
        </is>
      </c>
      <c r="B23" s="4" t="inlineStr">
        <is>
          <t>PhonePe loss, FY26</t>
        </is>
      </c>
      <c r="C23" s="5" t="n">
        <v>2792</v>
      </c>
      <c r="D23" s="4" t="inlineStr">
        <is>
          <t>INR crore</t>
        </is>
      </c>
      <c r="E23" s="4" t="inlineStr">
        <is>
          <t>FY26</t>
        </is>
      </c>
      <c r="F23" s="4" t="inlineStr">
        <is>
          <t>Inc42</t>
        </is>
      </c>
      <c r="G23" s="4" t="inlineStr">
        <is>
          <t>https://inc42.com/buzz/with-upi-mdr-clarity-phonepe-eyes-ipo-by-march-2027/</t>
        </is>
      </c>
      <c r="H23" s="4" t="inlineStr">
        <is>
          <t>2026-09</t>
        </is>
      </c>
      <c r="I23" s="4" t="inlineStr">
        <is>
          <t>secondary</t>
        </is>
      </c>
      <c r="J23" s="4" t="inlineStr">
        <is>
          <t>M</t>
        </is>
      </c>
      <c r="K23" s="4" t="inlineStr">
        <is>
          <t>verified</t>
        </is>
      </c>
      <c r="L23" s="4" t="n"/>
      <c r="M23" s="4" t="n"/>
      <c r="N23" s="4" t="inlineStr"/>
    </row>
    <row r="24">
      <c r="A24" s="4" t="inlineStr">
        <is>
          <t>P19</t>
        </is>
      </c>
      <c r="B24" s="4" t="inlineStr">
        <is>
          <t>Acquiring side's share of the MDR (bank and app together)</t>
        </is>
      </c>
      <c r="C24" s="6" t="n">
        <v>0.4</v>
      </c>
      <c r="D24" s="4" t="inlineStr">
        <is>
          <t>share of MDR</t>
        </is>
      </c>
      <c r="E24" s="4" t="inlineStr">
        <is>
          <t>2026</t>
        </is>
      </c>
      <c r="F24" s="4" t="inlineStr">
        <is>
          <t>Not published in the NPCI FAQ</t>
        </is>
      </c>
      <c r="G24" s="4" t="inlineStr"/>
      <c r="H24" s="4" t="inlineStr"/>
      <c r="I24" s="4" t="inlineStr">
        <is>
          <t>assumption</t>
        </is>
      </c>
      <c r="J24" s="4" t="inlineStr">
        <is>
          <t>L</t>
        </is>
      </c>
      <c r="K24" s="7" t="inlineStr">
        <is>
          <t>assumption</t>
        </is>
      </c>
      <c r="L24" s="6" t="n">
        <v>0.3</v>
      </c>
      <c r="M24" s="6" t="n">
        <v>0.5</v>
      </c>
      <c r="N24" s="4" t="inlineStr">
        <is>
          <t>Card interchange gives the issuer the larger share; the split for UPI MDR is the open question to ask.</t>
        </is>
      </c>
    </row>
    <row r="25">
      <c r="A25" s="4" t="inlineStr">
        <is>
          <t>P20</t>
        </is>
      </c>
      <c r="B25" s="4" t="inlineStr">
        <is>
          <t>Net take rate of an Indian payment aggregator after pass-through</t>
        </is>
      </c>
      <c r="C25" s="6" t="n">
        <v>0.002</v>
      </c>
      <c r="D25" s="4" t="inlineStr">
        <is>
          <t>share of value</t>
        </is>
      </c>
      <c r="E25" s="4" t="inlineStr">
        <is>
          <t>2026</t>
        </is>
      </c>
      <c r="F25" s="4" t="inlineStr">
        <is>
          <t>No filing-level disclosure found</t>
        </is>
      </c>
      <c r="G25" s="4" t="inlineStr"/>
      <c r="H25" s="4" t="inlineStr"/>
      <c r="I25" s="4" t="inlineStr">
        <is>
          <t>assumption</t>
        </is>
      </c>
      <c r="J25" s="4" t="inlineStr">
        <is>
          <t>L</t>
        </is>
      </c>
      <c r="K25" s="7" t="inlineStr">
        <is>
          <t>assumption</t>
        </is>
      </c>
      <c r="L25" s="6" t="n">
        <v>0.001</v>
      </c>
      <c r="M25" s="6" t="n">
        <v>0.003</v>
      </c>
      <c r="N25" s="4" t="inlineStr"/>
    </row>
    <row r="26">
      <c r="A26" s="4" t="inlineStr">
        <is>
          <t>P21</t>
        </is>
      </c>
      <c r="B26" s="4" t="inlineStr">
        <is>
          <t>Fraud and chargeback loss as a share of value</t>
        </is>
      </c>
      <c r="C26" s="6" t="n">
        <v>0.0005</v>
      </c>
      <c r="D26" s="4" t="inlineStr">
        <is>
          <t>share of value</t>
        </is>
      </c>
      <c r="E26" s="4" t="inlineStr">
        <is>
          <t>2026</t>
        </is>
      </c>
      <c r="F26" s="4" t="inlineStr">
        <is>
          <t>No Indian disclosure found</t>
        </is>
      </c>
      <c r="G26" s="4" t="inlineStr"/>
      <c r="H26" s="4" t="inlineStr"/>
      <c r="I26" s="4" t="inlineStr">
        <is>
          <t>assumption</t>
        </is>
      </c>
      <c r="J26" s="4" t="inlineStr">
        <is>
          <t>L</t>
        </is>
      </c>
      <c r="K26" s="7" t="inlineStr">
        <is>
          <t>assumption</t>
        </is>
      </c>
      <c r="L26" s="6" t="n">
        <v>0.0002</v>
      </c>
      <c r="M26" s="6" t="n">
        <v>0.001</v>
      </c>
      <c r="N26" s="4" t="inlineStr"/>
    </row>
    <row r="27">
      <c r="A27" s="4" t="inlineStr">
        <is>
          <t>P22</t>
        </is>
      </c>
      <c r="B27" s="4" t="inlineStr">
        <is>
          <t>Example merchant payment size for the worked unit</t>
        </is>
      </c>
      <c r="C27" s="5" t="n">
        <v>10000</v>
      </c>
      <c r="D27" s="4" t="inlineStr">
        <is>
          <t>INR</t>
        </is>
      </c>
      <c r="E27" s="4" t="inlineStr">
        <is>
          <t>scenario</t>
        </is>
      </c>
      <c r="F27" s="4" t="inlineStr">
        <is>
          <t>Chosen for the example</t>
        </is>
      </c>
      <c r="G27" s="4" t="inlineStr"/>
      <c r="H27" s="4" t="inlineStr"/>
      <c r="I27" s="4" t="inlineStr">
        <is>
          <t>scenario</t>
        </is>
      </c>
      <c r="J27" s="4" t="inlineStr">
        <is>
          <t>n/a</t>
        </is>
      </c>
      <c r="K27" s="4" t="inlineStr">
        <is>
          <t>scenario</t>
        </is>
      </c>
      <c r="L27" s="4" t="n"/>
      <c r="M27" s="4" t="n"/>
      <c r="N27" s="4" t="inlineStr"/>
    </row>
    <row r="28">
      <c r="A28" s="4" t="inlineStr">
        <is>
          <t>P23</t>
        </is>
      </c>
      <c r="B28" s="4" t="inlineStr">
        <is>
          <t>Target monthly net revenue for the volume test</t>
        </is>
      </c>
      <c r="C28" s="5" t="n">
        <v>1</v>
      </c>
      <c r="D28" s="4" t="inlineStr">
        <is>
          <t>INR crore</t>
        </is>
      </c>
      <c r="E28" s="4" t="inlineStr">
        <is>
          <t>scenario</t>
        </is>
      </c>
      <c r="F28" s="4" t="inlineStr">
        <is>
          <t>Chosen for the example</t>
        </is>
      </c>
      <c r="G28" s="4" t="inlineStr"/>
      <c r="H28" s="4" t="inlineStr"/>
      <c r="I28" s="4" t="inlineStr">
        <is>
          <t>scenario</t>
        </is>
      </c>
      <c r="J28" s="4" t="inlineStr">
        <is>
          <t>n/a</t>
        </is>
      </c>
      <c r="K28" s="4" t="inlineStr">
        <is>
          <t>scenario</t>
        </is>
      </c>
      <c r="L28" s="4" t="n"/>
      <c r="M28" s="4" t="n"/>
      <c r="N28" s="4" t="inlineStr"/>
    </row>
    <row r="29">
      <c r="A29" s="4" t="inlineStr">
        <is>
          <t>P24</t>
        </is>
      </c>
      <c r="B29" s="4" t="inlineStr">
        <is>
          <t>Share of P2M transactions above Rs 2,000 (complement of P5)</t>
        </is>
      </c>
      <c r="C29" s="5" t="n">
        <v>0.05</v>
      </c>
      <c r="D29" s="4" t="inlineStr">
        <is>
          <t>share of P2M volume</t>
        </is>
      </c>
      <c r="E29" s="4" t="inlineStr">
        <is>
          <t>Sep 2026</t>
        </is>
      </c>
      <c r="F29" s="4" t="inlineStr">
        <is>
          <t>NPCI FAQ, MDR on Select UPI (P2M) Transactions, 15 Sep 2026 (quoted by SCC Online, 16 Sep 2026) ('more than 95%' below)</t>
        </is>
      </c>
      <c r="G29" s="4" t="inlineStr">
        <is>
          <t>https://www.scconline.com/blog/post/2026/09/16/npci-released-upi-mdr-faqs-explained/</t>
        </is>
      </c>
      <c r="H29" s="4" t="inlineStr">
        <is>
          <t>2026-09-15</t>
        </is>
      </c>
      <c r="I29" s="4" t="inlineStr">
        <is>
          <t>regulator</t>
        </is>
      </c>
      <c r="J29" s="4" t="inlineStr">
        <is>
          <t>M</t>
        </is>
      </c>
      <c r="K29" s="4" t="inlineStr">
        <is>
          <t>verified</t>
        </is>
      </c>
      <c r="L29" s="4" t="n"/>
      <c r="M29" s="4" t="n"/>
      <c r="N29" s="4" t="inlineStr">
        <is>
          <t>Upper bound; NPCI says more than 95% are at or below Rs 2,000.</t>
        </is>
      </c>
    </row>
    <row r="30">
      <c r="A30" s="4" t="inlineStr">
        <is>
          <t>L1</t>
        </is>
      </c>
      <c r="B30" s="4" t="inlineStr">
        <is>
          <t>Bajaj Finance cost of borrowings, FY26</t>
        </is>
      </c>
      <c r="C30" s="5" t="n">
        <v>0.07539999999999999</v>
      </c>
      <c r="D30" s="4" t="inlineStr">
        <is>
          <t>share of borrowings</t>
        </is>
      </c>
      <c r="E30" s="4" t="inlineStr">
        <is>
          <t>FY26</t>
        </is>
      </c>
      <c r="F30" s="4" t="inlineStr">
        <is>
          <t>ICRA NBFC report Apr 2026 citing company results (via v6 verifier)</t>
        </is>
      </c>
      <c r="G30" s="4" t="inlineStr"/>
      <c r="H30" s="4" t="inlineStr">
        <is>
          <t>2026-04</t>
        </is>
      </c>
      <c r="I30" s="4" t="inlineStr">
        <is>
          <t>filing via rating agency</t>
        </is>
      </c>
      <c r="J30" s="4" t="inlineStr">
        <is>
          <t>M</t>
        </is>
      </c>
      <c r="K30" s="4" t="inlineStr">
        <is>
          <t>verified</t>
        </is>
      </c>
      <c r="L30" s="4" t="n"/>
      <c r="M30" s="4" t="n"/>
      <c r="N30" s="4" t="inlineStr">
        <is>
          <t>v6 used 7.45%, a single quarter. Confirm against Bajaj Finance FY26 results presentation.</t>
        </is>
      </c>
    </row>
    <row r="31">
      <c r="A31" s="4" t="inlineStr">
        <is>
          <t>L2</t>
        </is>
      </c>
      <c r="B31" s="4" t="inlineStr">
        <is>
          <t>Bajaj Finance yield on assets</t>
        </is>
      </c>
      <c r="C31" s="6" t="n">
        <v>0.18</v>
      </c>
      <c r="D31" s="4" t="inlineStr">
        <is>
          <t>share of assets</t>
        </is>
      </c>
      <c r="E31" s="4" t="inlineStr">
        <is>
          <t>FY26</t>
        </is>
      </c>
      <c r="F31" s="4" t="inlineStr">
        <is>
          <t>FY25 investor presentation range; FY26 pending</t>
        </is>
      </c>
      <c r="G31" s="4" t="inlineStr"/>
      <c r="H31" s="4" t="inlineStr"/>
      <c r="I31" s="4" t="inlineStr">
        <is>
          <t>assumption</t>
        </is>
      </c>
      <c r="J31" s="4" t="inlineStr">
        <is>
          <t>M</t>
        </is>
      </c>
      <c r="K31" s="7" t="inlineStr">
        <is>
          <t>assumption</t>
        </is>
      </c>
      <c r="L31" s="6" t="n">
        <v>0.17</v>
      </c>
      <c r="M31" s="6" t="n">
        <v>0.19</v>
      </c>
      <c r="N31" s="4" t="inlineStr">
        <is>
          <t>Replace with FY26 figure when verified.</t>
        </is>
      </c>
    </row>
    <row r="32">
      <c r="A32" s="4" t="inlineStr">
        <is>
          <t>L3</t>
        </is>
      </c>
      <c r="B32" s="4" t="inlineStr">
        <is>
          <t>Bajaj Finance credit cost</t>
        </is>
      </c>
      <c r="C32" s="6" t="n">
        <v>0.02</v>
      </c>
      <c r="D32" s="4" t="inlineStr">
        <is>
          <t>share of assets</t>
        </is>
      </c>
      <c r="E32" s="4" t="inlineStr">
        <is>
          <t>FY26</t>
        </is>
      </c>
      <c r="F32" s="4" t="inlineStr">
        <is>
          <t>FY25 investor presentation range; FY26 pending</t>
        </is>
      </c>
      <c r="G32" s="4" t="inlineStr"/>
      <c r="H32" s="4" t="inlineStr"/>
      <c r="I32" s="4" t="inlineStr">
        <is>
          <t>assumption</t>
        </is>
      </c>
      <c r="J32" s="4" t="inlineStr">
        <is>
          <t>M</t>
        </is>
      </c>
      <c r="K32" s="7" t="inlineStr">
        <is>
          <t>assumption</t>
        </is>
      </c>
      <c r="L32" s="6" t="n">
        <v>0.018</v>
      </c>
      <c r="M32" s="6" t="n">
        <v>0.022</v>
      </c>
      <c r="N32" s="4" t="inlineStr"/>
    </row>
    <row r="33">
      <c r="A33" s="4" t="inlineStr">
        <is>
          <t>L4</t>
        </is>
      </c>
      <c r="B33" s="4" t="inlineStr">
        <is>
          <t>Bajaj Finance operating cost to assets</t>
        </is>
      </c>
      <c r="C33" s="6" t="n">
        <v>0.0325</v>
      </c>
      <c r="D33" s="4" t="inlineStr">
        <is>
          <t>share of assets</t>
        </is>
      </c>
      <c r="E33" s="4" t="inlineStr">
        <is>
          <t>FY26</t>
        </is>
      </c>
      <c r="F33" s="4" t="inlineStr">
        <is>
          <t>FY25 investor presentation range; FY26 pending</t>
        </is>
      </c>
      <c r="G33" s="4" t="inlineStr"/>
      <c r="H33" s="4" t="inlineStr"/>
      <c r="I33" s="4" t="inlineStr">
        <is>
          <t>assumption</t>
        </is>
      </c>
      <c r="J33" s="4" t="inlineStr">
        <is>
          <t>M</t>
        </is>
      </c>
      <c r="K33" s="7" t="inlineStr">
        <is>
          <t>assumption</t>
        </is>
      </c>
      <c r="L33" s="6" t="n">
        <v>0.03</v>
      </c>
      <c r="M33" s="6" t="n">
        <v>0.035</v>
      </c>
      <c r="N33" s="4" t="inlineStr"/>
    </row>
    <row r="34">
      <c r="A34" s="4" t="inlineStr">
        <is>
          <t>L5</t>
        </is>
      </c>
      <c r="B34" s="4" t="inlineStr">
        <is>
          <t>Small-ticket lender (Five Star or Aye Finance) yield</t>
        </is>
      </c>
      <c r="C34" s="6" t="n">
        <v>0.26</v>
      </c>
      <c r="D34" s="4" t="inlineStr">
        <is>
          <t>share of assets</t>
        </is>
      </c>
      <c r="E34" s="4" t="inlineStr">
        <is>
          <t>FY26</t>
        </is>
      </c>
      <c r="F34" s="4" t="inlineStr">
        <is>
          <t>FY24-FY25 filing ranges; FY26 pending</t>
        </is>
      </c>
      <c r="G34" s="4" t="inlineStr"/>
      <c r="H34" s="4" t="inlineStr"/>
      <c r="I34" s="4" t="inlineStr">
        <is>
          <t>assumption</t>
        </is>
      </c>
      <c r="J34" s="4" t="inlineStr">
        <is>
          <t>M</t>
        </is>
      </c>
      <c r="K34" s="7" t="inlineStr">
        <is>
          <t>assumption</t>
        </is>
      </c>
      <c r="L34" s="6" t="n">
        <v>0.24</v>
      </c>
      <c r="M34" s="6" t="n">
        <v>0.28</v>
      </c>
      <c r="N34" s="4" t="inlineStr"/>
    </row>
    <row r="35">
      <c r="A35" s="4" t="inlineStr">
        <is>
          <t>L6</t>
        </is>
      </c>
      <c r="B35" s="4" t="inlineStr">
        <is>
          <t>Small-ticket lender cost of funds</t>
        </is>
      </c>
      <c r="C35" s="6" t="n">
        <v>0.1025</v>
      </c>
      <c r="D35" s="4" t="inlineStr">
        <is>
          <t>share of borrowings</t>
        </is>
      </c>
      <c r="E35" s="4" t="inlineStr">
        <is>
          <t>FY26</t>
        </is>
      </c>
      <c r="F35" s="4" t="inlineStr">
        <is>
          <t>FY24-FY25 filing ranges; FY26 pending</t>
        </is>
      </c>
      <c r="G35" s="4" t="inlineStr"/>
      <c r="H35" s="4" t="inlineStr"/>
      <c r="I35" s="4" t="inlineStr">
        <is>
          <t>assumption</t>
        </is>
      </c>
      <c r="J35" s="4" t="inlineStr">
        <is>
          <t>M</t>
        </is>
      </c>
      <c r="K35" s="7" t="inlineStr">
        <is>
          <t>assumption</t>
        </is>
      </c>
      <c r="L35" s="6" t="n">
        <v>0.095</v>
      </c>
      <c r="M35" s="6" t="n">
        <v>0.11</v>
      </c>
      <c r="N35" s="4" t="inlineStr"/>
    </row>
    <row r="36">
      <c r="A36" s="4" t="inlineStr">
        <is>
          <t>L7</t>
        </is>
      </c>
      <c r="B36" s="4" t="inlineStr">
        <is>
          <t>Small-ticket lender credit cost</t>
        </is>
      </c>
      <c r="C36" s="6" t="n">
        <v>0.025</v>
      </c>
      <c r="D36" s="4" t="inlineStr">
        <is>
          <t>share of assets</t>
        </is>
      </c>
      <c r="E36" s="4" t="inlineStr">
        <is>
          <t>FY26</t>
        </is>
      </c>
      <c r="F36" s="4" t="inlineStr">
        <is>
          <t>FY24-FY25 filing ranges; FY26 pending</t>
        </is>
      </c>
      <c r="G36" s="4" t="inlineStr"/>
      <c r="H36" s="4" t="inlineStr"/>
      <c r="I36" s="4" t="inlineStr">
        <is>
          <t>assumption</t>
        </is>
      </c>
      <c r="J36" s="4" t="inlineStr">
        <is>
          <t>M</t>
        </is>
      </c>
      <c r="K36" s="7" t="inlineStr">
        <is>
          <t>assumption</t>
        </is>
      </c>
      <c r="L36" s="6" t="n">
        <v>0.01</v>
      </c>
      <c r="M36" s="6" t="n">
        <v>0.04</v>
      </c>
      <c r="N36" s="4" t="inlineStr"/>
    </row>
    <row r="37">
      <c r="A37" s="4" t="inlineStr">
        <is>
          <t>L8</t>
        </is>
      </c>
      <c r="B37" s="4" t="inlineStr">
        <is>
          <t>Small-ticket lender operating cost to assets</t>
        </is>
      </c>
      <c r="C37" s="6" t="n">
        <v>0.08</v>
      </c>
      <c r="D37" s="4" t="inlineStr">
        <is>
          <t>share of assets</t>
        </is>
      </c>
      <c r="E37" s="4" t="inlineStr">
        <is>
          <t>FY26</t>
        </is>
      </c>
      <c r="F37" s="4" t="inlineStr">
        <is>
          <t>FY24-FY25 filing ranges; FY26 pending</t>
        </is>
      </c>
      <c r="G37" s="4" t="inlineStr"/>
      <c r="H37" s="4" t="inlineStr"/>
      <c r="I37" s="4" t="inlineStr">
        <is>
          <t>assumption</t>
        </is>
      </c>
      <c r="J37" s="4" t="inlineStr">
        <is>
          <t>M</t>
        </is>
      </c>
      <c r="K37" s="7" t="inlineStr">
        <is>
          <t>assumption</t>
        </is>
      </c>
      <c r="L37" s="6" t="n">
        <v>0.06</v>
      </c>
      <c r="M37" s="6" t="n">
        <v>0.1</v>
      </c>
      <c r="N37" s="4" t="inlineStr"/>
    </row>
    <row r="38">
      <c r="A38" s="4" t="inlineStr">
        <is>
          <t>L9</t>
        </is>
      </c>
      <c r="B38" s="4" t="inlineStr">
        <is>
          <t>Moneyview average cost of borrowings</t>
        </is>
      </c>
      <c r="C38" s="5" t="n">
        <v>0.1444</v>
      </c>
      <c r="D38" s="4" t="inlineStr">
        <is>
          <t>share of borrowings</t>
        </is>
      </c>
      <c r="E38" s="4" t="inlineStr">
        <is>
          <t>FY25 and 9M FY26</t>
        </is>
      </c>
      <c r="F38" s="4" t="inlineStr">
        <is>
          <t>Moneyview DRHP (via India Fintech substack)</t>
        </is>
      </c>
      <c r="G38" s="4" t="inlineStr">
        <is>
          <t>https://indiafintech.substack.com/p/moneyviews-drhp-decoded-the-economics</t>
        </is>
      </c>
      <c r="H38" s="4" t="inlineStr">
        <is>
          <t>2026</t>
        </is>
      </c>
      <c r="I38" s="4" t="inlineStr">
        <is>
          <t>filing via secondary</t>
        </is>
      </c>
      <c r="J38" s="4" t="inlineStr">
        <is>
          <t>M</t>
        </is>
      </c>
      <c r="K38" s="4" t="inlineStr">
        <is>
          <t>verified</t>
        </is>
      </c>
      <c r="L38" s="4" t="n"/>
      <c r="M38" s="4" t="n"/>
      <c r="N38" s="4" t="inlineStr"/>
    </row>
    <row r="39">
      <c r="A39" s="4" t="inlineStr">
        <is>
          <t>L10</t>
        </is>
      </c>
      <c r="B39" s="4" t="inlineStr">
        <is>
          <t>Moneyview listing gain over issue price, 1 Oct 2026</t>
        </is>
      </c>
      <c r="C39" s="5" t="n">
        <v>0.62</v>
      </c>
      <c r="D39" s="4" t="inlineStr">
        <is>
          <t>share</t>
        </is>
      </c>
      <c r="E39" s="4" t="inlineStr">
        <is>
          <t>2026-10-01</t>
        </is>
      </c>
      <c r="F39" s="4" t="inlineStr">
        <is>
          <t>Inc42 IPO tracker; Groww IPO page</t>
        </is>
      </c>
      <c r="G39" s="4" t="inlineStr">
        <is>
          <t>https://inc42.com/features/indian-startup-ipo-tracker-2026/</t>
        </is>
      </c>
      <c r="H39" s="4" t="inlineStr">
        <is>
          <t>2026-10-01</t>
        </is>
      </c>
      <c r="I39" s="4" t="inlineStr">
        <is>
          <t>exchange via secondary</t>
        </is>
      </c>
      <c r="J39" s="4" t="inlineStr">
        <is>
          <t>M</t>
        </is>
      </c>
      <c r="K39" s="4" t="inlineStr">
        <is>
          <t>verified</t>
        </is>
      </c>
      <c r="L39" s="4" t="n"/>
      <c r="M39" s="4" t="n"/>
      <c r="N39" s="4" t="inlineStr">
        <is>
          <t>98x subscribed.</t>
        </is>
      </c>
    </row>
    <row r="40">
      <c r="A40" s="4" t="inlineStr">
        <is>
          <t>L11</t>
        </is>
      </c>
      <c r="B40" s="4" t="inlineStr">
        <is>
          <t>Navi Finserv loss, FY26</t>
        </is>
      </c>
      <c r="C40" s="5" t="n">
        <v>466</v>
      </c>
      <c r="D40" s="4" t="inlineStr">
        <is>
          <t>INR crore</t>
        </is>
      </c>
      <c r="E40" s="4" t="inlineStr">
        <is>
          <t>FY26</t>
        </is>
      </c>
      <c r="F40" s="4" t="inlineStr">
        <is>
          <t>TechCrunch</t>
        </is>
      </c>
      <c r="G40" s="4" t="inlineStr">
        <is>
          <t>https://techcrunch.com/2026/08/19/sachin-bansals-fintech-navi-raises-first-outside-capital-with-100m-prosus-investment/</t>
        </is>
      </c>
      <c r="H40" s="4" t="inlineStr">
        <is>
          <t>2026-08-19</t>
        </is>
      </c>
      <c r="I40" s="4" t="inlineStr">
        <is>
          <t>secondary</t>
        </is>
      </c>
      <c r="J40" s="4" t="inlineStr">
        <is>
          <t>M</t>
        </is>
      </c>
      <c r="K40" s="4" t="inlineStr">
        <is>
          <t>verified</t>
        </is>
      </c>
      <c r="L40" s="4" t="n"/>
      <c r="M40" s="4" t="n"/>
      <c r="N40" s="4" t="inlineStr"/>
    </row>
    <row r="41">
      <c r="A41" s="4" t="inlineStr">
        <is>
          <t>L12</t>
        </is>
      </c>
      <c r="B41" s="4" t="inlineStr">
        <is>
          <t>Navi Finserv lending AUM, FY26</t>
        </is>
      </c>
      <c r="C41" s="5" t="n">
        <v>13000</v>
      </c>
      <c r="D41" s="4" t="inlineStr">
        <is>
          <t>INR crore</t>
        </is>
      </c>
      <c r="E41" s="4" t="inlineStr">
        <is>
          <t>FY26</t>
        </is>
      </c>
      <c r="F41" s="4" t="inlineStr">
        <is>
          <t>TechCrunch</t>
        </is>
      </c>
      <c r="G41" s="4" t="inlineStr">
        <is>
          <t>https://techcrunch.com/2026/08/19/sachin-bansals-fintech-navi-raises-first-outside-capital-with-100m-prosus-investment/</t>
        </is>
      </c>
      <c r="H41" s="4" t="inlineStr">
        <is>
          <t>2026-08-19</t>
        </is>
      </c>
      <c r="I41" s="4" t="inlineStr">
        <is>
          <t>secondary</t>
        </is>
      </c>
      <c r="J41" s="4" t="inlineStr">
        <is>
          <t>M</t>
        </is>
      </c>
      <c r="K41" s="4" t="inlineStr">
        <is>
          <t>verified</t>
        </is>
      </c>
      <c r="L41" s="4" t="n"/>
      <c r="M41" s="4" t="n"/>
      <c r="N41" s="4" t="inlineStr"/>
    </row>
    <row r="42">
      <c r="A42" s="4" t="inlineStr">
        <is>
          <t>L13</t>
        </is>
      </c>
      <c r="B42" s="4" t="inlineStr">
        <is>
          <t>slice Small Finance Bank profit, Q1 FY27 (more than)</t>
        </is>
      </c>
      <c r="C42" s="5" t="n">
        <v>50</v>
      </c>
      <c r="D42" s="4" t="inlineStr">
        <is>
          <t>INR crore</t>
        </is>
      </c>
      <c r="E42" s="4" t="inlineStr">
        <is>
          <t>Apr-Jun 2026</t>
        </is>
      </c>
      <c r="F42" s="4" t="inlineStr">
        <is>
          <t>Outlook Business</t>
        </is>
      </c>
      <c r="G42" s="4" t="inlineStr">
        <is>
          <t>https://www.outlookbusiness.com/corporate/small-finance-bank-slice-announces-profit-of-over-50-crore-in-first-quarter-of-current-fiscal</t>
        </is>
      </c>
      <c r="H42" s="4" t="inlineStr">
        <is>
          <t>2026-08</t>
        </is>
      </c>
      <c r="I42" s="4" t="inlineStr">
        <is>
          <t>company via daily</t>
        </is>
      </c>
      <c r="J42" s="4" t="inlineStr">
        <is>
          <t>M</t>
        </is>
      </c>
      <c r="K42" s="4" t="inlineStr">
        <is>
          <t>verified</t>
        </is>
      </c>
      <c r="L42" s="4" t="n"/>
      <c r="M42" s="4" t="n"/>
      <c r="N42" s="4" t="inlineStr"/>
    </row>
    <row r="43">
      <c r="A43" s="4" t="inlineStr">
        <is>
          <t>L14</t>
        </is>
      </c>
      <c r="B43" s="4" t="inlineStr">
        <is>
          <t>slice Small Finance Bank deposits, Q1 FY27</t>
        </is>
      </c>
      <c r="C43" s="5" t="n">
        <v>5765</v>
      </c>
      <c r="D43" s="4" t="inlineStr">
        <is>
          <t>INR crore</t>
        </is>
      </c>
      <c r="E43" s="4" t="inlineStr">
        <is>
          <t>Jun 2026</t>
        </is>
      </c>
      <c r="F43" s="4" t="inlineStr">
        <is>
          <t>Outlook Business</t>
        </is>
      </c>
      <c r="G43" s="4" t="inlineStr">
        <is>
          <t>https://www.outlookbusiness.com/corporate/small-finance-bank-slice-announces-profit-of-over-50-crore-in-first-quarter-of-current-fiscal</t>
        </is>
      </c>
      <c r="H43" s="4" t="inlineStr">
        <is>
          <t>2026-08</t>
        </is>
      </c>
      <c r="I43" s="4" t="inlineStr">
        <is>
          <t>company via daily</t>
        </is>
      </c>
      <c r="J43" s="4" t="inlineStr">
        <is>
          <t>M</t>
        </is>
      </c>
      <c r="K43" s="4" t="inlineStr">
        <is>
          <t>verified</t>
        </is>
      </c>
      <c r="L43" s="4" t="n"/>
      <c r="M43" s="4" t="n"/>
      <c r="N43" s="4" t="inlineStr"/>
    </row>
    <row r="44">
      <c r="A44" s="4" t="inlineStr">
        <is>
          <t>L15</t>
        </is>
      </c>
      <c r="B44" s="4" t="inlineStr">
        <is>
          <t>Pre-Series A lender, year one: yield</t>
        </is>
      </c>
      <c r="C44" s="6" t="n">
        <v>0.23</v>
      </c>
      <c r="D44" s="4" t="inlineStr">
        <is>
          <t>share of assets</t>
        </is>
      </c>
      <c r="E44" s="4" t="inlineStr">
        <is>
          <t>scenario</t>
        </is>
      </c>
      <c r="F44" s="4" t="inlineStr">
        <is>
          <t>Assumption</t>
        </is>
      </c>
      <c r="G44" s="4" t="inlineStr"/>
      <c r="H44" s="4" t="inlineStr"/>
      <c r="I44" s="4" t="inlineStr">
        <is>
          <t>assumption</t>
        </is>
      </c>
      <c r="J44" s="4" t="inlineStr">
        <is>
          <t>L</t>
        </is>
      </c>
      <c r="K44" s="7" t="inlineStr">
        <is>
          <t>assumption</t>
        </is>
      </c>
      <c r="L44" s="6" t="n">
        <v>0.2</v>
      </c>
      <c r="M44" s="6" t="n">
        <v>0.26</v>
      </c>
      <c r="N44" s="4" t="inlineStr"/>
    </row>
    <row r="45">
      <c r="A45" s="4" t="inlineStr">
        <is>
          <t>L16</t>
        </is>
      </c>
      <c r="B45" s="4" t="inlineStr">
        <is>
          <t>Pre-Series A lender, year one: cost of funds</t>
        </is>
      </c>
      <c r="C45" s="6" t="n">
        <v>0.135</v>
      </c>
      <c r="D45" s="4" t="inlineStr">
        <is>
          <t>share of borrowings</t>
        </is>
      </c>
      <c r="E45" s="4" t="inlineStr">
        <is>
          <t>scenario</t>
        </is>
      </c>
      <c r="F45" s="4" t="inlineStr">
        <is>
          <t>Assumption; anchors L1 (AAA, 7.54%) and L9 (A-, 14.44%)</t>
        </is>
      </c>
      <c r="G45" s="4" t="inlineStr"/>
      <c r="H45" s="4" t="inlineStr"/>
      <c r="I45" s="4" t="inlineStr">
        <is>
          <t>assumption</t>
        </is>
      </c>
      <c r="J45" s="4" t="inlineStr">
        <is>
          <t>L</t>
        </is>
      </c>
      <c r="K45" s="7" t="inlineStr">
        <is>
          <t>assumption</t>
        </is>
      </c>
      <c r="L45" s="6" t="n">
        <v>0.12</v>
      </c>
      <c r="M45" s="6" t="n">
        <v>0.15</v>
      </c>
      <c r="N45" s="4" t="inlineStr"/>
    </row>
    <row r="46">
      <c r="A46" s="4" t="inlineStr">
        <is>
          <t>L17</t>
        </is>
      </c>
      <c r="B46" s="4" t="inlineStr">
        <is>
          <t>Pre-Series A lender, year one: credit cost</t>
        </is>
      </c>
      <c r="C46" s="6" t="n">
        <v>0.045</v>
      </c>
      <c r="D46" s="4" t="inlineStr">
        <is>
          <t>share of assets</t>
        </is>
      </c>
      <c r="E46" s="4" t="inlineStr">
        <is>
          <t>scenario</t>
        </is>
      </c>
      <c r="F46" s="4" t="inlineStr">
        <is>
          <t>Assumption</t>
        </is>
      </c>
      <c r="G46" s="4" t="inlineStr"/>
      <c r="H46" s="4" t="inlineStr"/>
      <c r="I46" s="4" t="inlineStr">
        <is>
          <t>assumption</t>
        </is>
      </c>
      <c r="J46" s="4" t="inlineStr">
        <is>
          <t>L</t>
        </is>
      </c>
      <c r="K46" s="7" t="inlineStr">
        <is>
          <t>assumption</t>
        </is>
      </c>
      <c r="L46" s="6" t="n">
        <v>0.03</v>
      </c>
      <c r="M46" s="6" t="n">
        <v>0.06</v>
      </c>
      <c r="N46" s="4" t="inlineStr"/>
    </row>
    <row r="47">
      <c r="A47" s="4" t="inlineStr">
        <is>
          <t>L18</t>
        </is>
      </c>
      <c r="B47" s="4" t="inlineStr">
        <is>
          <t>Pre-Series A lender, year one: operating cost to assets</t>
        </is>
      </c>
      <c r="C47" s="6" t="n">
        <v>0.1</v>
      </c>
      <c r="D47" s="4" t="inlineStr">
        <is>
          <t>share of assets</t>
        </is>
      </c>
      <c r="E47" s="4" t="inlineStr">
        <is>
          <t>scenario</t>
        </is>
      </c>
      <c r="F47" s="4" t="inlineStr">
        <is>
          <t>Assumption</t>
        </is>
      </c>
      <c r="G47" s="4" t="inlineStr"/>
      <c r="H47" s="4" t="inlineStr"/>
      <c r="I47" s="4" t="inlineStr">
        <is>
          <t>assumption</t>
        </is>
      </c>
      <c r="J47" s="4" t="inlineStr">
        <is>
          <t>L</t>
        </is>
      </c>
      <c r="K47" s="7" t="inlineStr">
        <is>
          <t>assumption</t>
        </is>
      </c>
      <c r="L47" s="6" t="n">
        <v>0.08</v>
      </c>
      <c r="M47" s="6" t="n">
        <v>0.12</v>
      </c>
      <c r="N47" s="4" t="inlineStr"/>
    </row>
    <row r="48">
      <c r="A48" s="4" t="inlineStr">
        <is>
          <t>L19</t>
        </is>
      </c>
      <c r="B48" s="4" t="inlineStr">
        <is>
          <t>Co-lending: minimum share the originator retains</t>
        </is>
      </c>
      <c r="C48" s="5" t="n">
        <v>0.1</v>
      </c>
      <c r="D48" s="4" t="inlineStr">
        <is>
          <t>share of each loan</t>
        </is>
      </c>
      <c r="E48" s="4" t="inlineStr">
        <is>
          <t>from 1 Jan 2026</t>
        </is>
      </c>
      <c r="F48" s="4" t="inlineStr">
        <is>
          <t>RBI Co-Lending Arrangements Directions 2025 (Cyril Amarchand analysis)</t>
        </is>
      </c>
      <c r="G48" s="4" t="inlineStr">
        <is>
          <t>https://corporate.cyrilamarchandblogs.com/2025/09/analysis-of-rbi-co-lending-arrangements-directions-2025/</t>
        </is>
      </c>
      <c r="H48" s="4" t="inlineStr">
        <is>
          <t>2025-09</t>
        </is>
      </c>
      <c r="I48" s="4" t="inlineStr">
        <is>
          <t>regulator via law firm</t>
        </is>
      </c>
      <c r="J48" s="4" t="inlineStr">
        <is>
          <t>H</t>
        </is>
      </c>
      <c r="K48" s="4" t="inlineStr">
        <is>
          <t>verified</t>
        </is>
      </c>
      <c r="L48" s="4" t="n"/>
      <c r="M48" s="4" t="n"/>
      <c r="N48" s="4" t="inlineStr"/>
    </row>
    <row r="49">
      <c r="A49" s="4" t="inlineStr">
        <is>
          <t>L20</t>
        </is>
      </c>
      <c r="B49" s="4" t="inlineStr">
        <is>
          <t>Co-lending: default loss guarantee cap</t>
        </is>
      </c>
      <c r="C49" s="5" t="n">
        <v>0.05</v>
      </c>
      <c r="D49" s="4" t="inlineStr">
        <is>
          <t>share of the loan pool</t>
        </is>
      </c>
      <c r="E49" s="4" t="inlineStr">
        <is>
          <t>from 1 Jan 2026</t>
        </is>
      </c>
      <c r="F49" s="4" t="inlineStr">
        <is>
          <t>RBI Co-Lending Arrangements Directions 2025</t>
        </is>
      </c>
      <c r="G49" s="4" t="inlineStr">
        <is>
          <t>https://corporate.cyrilamarchandblogs.com/2025/09/analysis-of-rbi-co-lending-arrangements-directions-2025/</t>
        </is>
      </c>
      <c r="H49" s="4" t="inlineStr">
        <is>
          <t>2025-09</t>
        </is>
      </c>
      <c r="I49" s="4" t="inlineStr">
        <is>
          <t>regulator via law firm</t>
        </is>
      </c>
      <c r="J49" s="4" t="inlineStr">
        <is>
          <t>H</t>
        </is>
      </c>
      <c r="K49" s="4" t="inlineStr">
        <is>
          <t>verified</t>
        </is>
      </c>
      <c r="L49" s="4" t="n"/>
      <c r="M49" s="4" t="n"/>
      <c r="N49" s="4" t="inlineStr"/>
    </row>
    <row r="50">
      <c r="A50" s="4" t="inlineStr">
        <is>
          <t>L21</t>
        </is>
      </c>
      <c r="B50" s="4" t="inlineStr">
        <is>
          <t>Unsecured retail gross NPA, banks</t>
        </is>
      </c>
      <c r="C50" s="5" t="n">
        <v>0.017</v>
      </c>
      <c r="D50" s="4" t="inlineStr">
        <is>
          <t>share of advances</t>
        </is>
      </c>
      <c r="E50" s="4" t="inlineStr">
        <is>
          <t>Mar 2026</t>
        </is>
      </c>
      <c r="F50" s="4" t="inlineStr">
        <is>
          <t>RBI Financial Stability Report (via Policy Circle)</t>
        </is>
      </c>
      <c r="G50" s="4" t="inlineStr">
        <is>
          <t>https://www.policycircle.org/economy/rbi-financial-stability-report-loans/</t>
        </is>
      </c>
      <c r="H50" s="4" t="inlineStr">
        <is>
          <t>2026-06</t>
        </is>
      </c>
      <c r="I50" s="4" t="inlineStr">
        <is>
          <t>regulator via secondary</t>
        </is>
      </c>
      <c r="J50" s="4" t="inlineStr">
        <is>
          <t>M</t>
        </is>
      </c>
      <c r="K50" s="4" t="inlineStr">
        <is>
          <t>verified</t>
        </is>
      </c>
      <c r="L50" s="4" t="n"/>
      <c r="M50" s="4" t="n"/>
      <c r="N50" s="4" t="inlineStr"/>
    </row>
    <row r="51">
      <c r="A51" s="4" t="inlineStr">
        <is>
          <t>L22</t>
        </is>
      </c>
      <c r="B51" s="4" t="inlineStr">
        <is>
          <t>Secured retail gross NPA, banks</t>
        </is>
      </c>
      <c r="C51" s="5" t="n">
        <v>0.007</v>
      </c>
      <c r="D51" s="4" t="inlineStr">
        <is>
          <t>share of advances</t>
        </is>
      </c>
      <c r="E51" s="4" t="inlineStr">
        <is>
          <t>Mar 2026</t>
        </is>
      </c>
      <c r="F51" s="4" t="inlineStr">
        <is>
          <t>RBI Financial Stability Report (via Policy Circle)</t>
        </is>
      </c>
      <c r="G51" s="4" t="inlineStr">
        <is>
          <t>https://www.policycircle.org/economy/rbi-financial-stability-report-loans/</t>
        </is>
      </c>
      <c r="H51" s="4" t="inlineStr">
        <is>
          <t>2026-06</t>
        </is>
      </c>
      <c r="I51" s="4" t="inlineStr">
        <is>
          <t>regulator via secondary</t>
        </is>
      </c>
      <c r="J51" s="4" t="inlineStr">
        <is>
          <t>M</t>
        </is>
      </c>
      <c r="K51" s="4" t="inlineStr">
        <is>
          <t>verified</t>
        </is>
      </c>
      <c r="L51" s="4" t="n"/>
      <c r="M51" s="4" t="n"/>
      <c r="N51" s="4" t="inlineStr"/>
    </row>
    <row r="52">
      <c r="A52" s="4" t="inlineStr">
        <is>
          <t>L23</t>
        </is>
      </c>
      <c r="B52" s="4" t="inlineStr">
        <is>
          <t>NBFC gross NPA</t>
        </is>
      </c>
      <c r="C52" s="5" t="n">
        <v>0.024</v>
      </c>
      <c r="D52" s="4" t="inlineStr">
        <is>
          <t>share of advances</t>
        </is>
      </c>
      <c r="E52" s="4" t="inlineStr">
        <is>
          <t>Mar 2026</t>
        </is>
      </c>
      <c r="F52" s="4" t="inlineStr">
        <is>
          <t>RBI FSR June 2026 (via OneFin)</t>
        </is>
      </c>
      <c r="G52" s="4" t="inlineStr">
        <is>
          <t>https://www.onefin.in/post/rbi-s-fsr-june-2026-the-signals-beneath-the-stable-headline</t>
        </is>
      </c>
      <c r="H52" s="4" t="inlineStr">
        <is>
          <t>2026-07-08</t>
        </is>
      </c>
      <c r="I52" s="4" t="inlineStr">
        <is>
          <t>regulator via secondary</t>
        </is>
      </c>
      <c r="J52" s="4" t="inlineStr">
        <is>
          <t>M</t>
        </is>
      </c>
      <c r="K52" s="4" t="inlineStr">
        <is>
          <t>verified</t>
        </is>
      </c>
      <c r="L52" s="4" t="n"/>
      <c r="M52" s="4" t="n"/>
      <c r="N52" s="4" t="inlineStr"/>
    </row>
    <row r="53">
      <c r="A53" s="4" t="inlineStr">
        <is>
          <t>L24</t>
        </is>
      </c>
      <c r="B53" s="4" t="inlineStr">
        <is>
          <t>Gold loans outstanding</t>
        </is>
      </c>
      <c r="C53" s="5" t="n">
        <v>514000</v>
      </c>
      <c r="D53" s="4" t="inlineStr">
        <is>
          <t>INR crore</t>
        </is>
      </c>
      <c r="E53" s="4" t="inlineStr">
        <is>
          <t>2026</t>
        </is>
      </c>
      <c r="F53" s="4" t="inlineStr">
        <is>
          <t>RBI FSR (via Policy Circle)</t>
        </is>
      </c>
      <c r="G53" s="4" t="inlineStr">
        <is>
          <t>https://www.policycircle.org/economy/rbi-financial-stability-report-loans/</t>
        </is>
      </c>
      <c r="H53" s="4" t="inlineStr">
        <is>
          <t>2026-05</t>
        </is>
      </c>
      <c r="I53" s="4" t="inlineStr">
        <is>
          <t>regulator via secondary</t>
        </is>
      </c>
      <c r="J53" s="4" t="inlineStr">
        <is>
          <t>M</t>
        </is>
      </c>
      <c r="K53" s="4" t="inlineStr">
        <is>
          <t>verified</t>
        </is>
      </c>
      <c r="L53" s="4" t="n"/>
      <c r="M53" s="4" t="n"/>
      <c r="N53" s="4" t="inlineStr">
        <is>
          <t>About double a year earlier.</t>
        </is>
      </c>
    </row>
    <row r="54">
      <c r="A54" s="4" t="inlineStr">
        <is>
          <t>L25</t>
        </is>
      </c>
      <c r="B54" s="4" t="inlineStr">
        <is>
          <t>Equity invested at pre-Series A (scenario)</t>
        </is>
      </c>
      <c r="C54" s="5" t="n">
        <v>15</v>
      </c>
      <c r="D54" s="4" t="inlineStr">
        <is>
          <t>INR crore</t>
        </is>
      </c>
      <c r="E54" s="4" t="inlineStr">
        <is>
          <t>scenario</t>
        </is>
      </c>
      <c r="F54" s="4" t="inlineStr">
        <is>
          <t>Mint: JSW initial cheque Rs 10-20 cr</t>
        </is>
      </c>
      <c r="G54" s="4" t="inlineStr"/>
      <c r="H54" s="4" t="inlineStr">
        <is>
          <t>2026-06-25</t>
        </is>
      </c>
      <c r="I54" s="4" t="inlineStr">
        <is>
          <t>scenario</t>
        </is>
      </c>
      <c r="J54" s="4" t="inlineStr">
        <is>
          <t>n/a</t>
        </is>
      </c>
      <c r="K54" s="4" t="inlineStr">
        <is>
          <t>scenario</t>
        </is>
      </c>
      <c r="L54" s="4" t="n"/>
      <c r="M54" s="4" t="n"/>
      <c r="N54" s="4" t="inlineStr"/>
    </row>
    <row r="55">
      <c r="A55" s="4" t="inlineStr">
        <is>
          <t>L26</t>
        </is>
      </c>
      <c r="B55" s="4" t="inlineStr">
        <is>
          <t>Debt to equity a new NBFC can raise in years one to two</t>
        </is>
      </c>
      <c r="C55" s="6" t="n">
        <v>3.5</v>
      </c>
      <c r="D55" s="4" t="inlineStr">
        <is>
          <t>x</t>
        </is>
      </c>
      <c r="E55" s="4" t="inlineStr">
        <is>
          <t>scenario</t>
        </is>
      </c>
      <c r="F55" s="4" t="inlineStr">
        <is>
          <t>Assumption</t>
        </is>
      </c>
      <c r="G55" s="4" t="inlineStr"/>
      <c r="H55" s="4" t="inlineStr"/>
      <c r="I55" s="4" t="inlineStr">
        <is>
          <t>assumption</t>
        </is>
      </c>
      <c r="J55" s="4" t="inlineStr">
        <is>
          <t>L</t>
        </is>
      </c>
      <c r="K55" s="7" t="inlineStr">
        <is>
          <t>assumption</t>
        </is>
      </c>
      <c r="L55" s="6" t="n">
        <v>3</v>
      </c>
      <c r="M55" s="6" t="n">
        <v>4</v>
      </c>
      <c r="N55" s="4" t="inlineStr"/>
    </row>
    <row r="56">
      <c r="A56" s="4" t="inlineStr">
        <is>
          <t>L27</t>
        </is>
      </c>
      <c r="B56" s="4" t="inlineStr">
        <is>
          <t>Threshold: cost of funds a software-run lender must get under by year three</t>
        </is>
      </c>
      <c r="C56" s="5" t="n">
        <v>0.12</v>
      </c>
      <c r="D56" s="4" t="inlineStr">
        <is>
          <t>share of borrowings</t>
        </is>
      </c>
      <c r="E56" s="4" t="inlineStr">
        <is>
          <t>test</t>
        </is>
      </c>
      <c r="F56" s="4" t="inlineStr">
        <is>
          <t>Author's test</t>
        </is>
      </c>
      <c r="G56" s="4" t="inlineStr"/>
      <c r="H56" s="4" t="inlineStr"/>
      <c r="I56" s="4" t="inlineStr">
        <is>
          <t>scenario</t>
        </is>
      </c>
      <c r="J56" s="4" t="inlineStr">
        <is>
          <t>n/a</t>
        </is>
      </c>
      <c r="K56" s="4" t="inlineStr">
        <is>
          <t>scenario</t>
        </is>
      </c>
      <c r="L56" s="4" t="n"/>
      <c r="M56" s="4" t="n"/>
      <c r="N56" s="4" t="inlineStr"/>
    </row>
    <row r="57">
      <c r="A57" s="4" t="inlineStr">
        <is>
          <t>L28</t>
        </is>
      </c>
      <c r="B57" s="4" t="inlineStr">
        <is>
          <t>Threshold: operating cost to assets by year three</t>
        </is>
      </c>
      <c r="C57" s="5" t="n">
        <v>0.04</v>
      </c>
      <c r="D57" s="4" t="inlineStr">
        <is>
          <t>share of assets</t>
        </is>
      </c>
      <c r="E57" s="4" t="inlineStr">
        <is>
          <t>test</t>
        </is>
      </c>
      <c r="F57" s="4" t="inlineStr">
        <is>
          <t>Author's test</t>
        </is>
      </c>
      <c r="G57" s="4" t="inlineStr"/>
      <c r="H57" s="4" t="inlineStr"/>
      <c r="I57" s="4" t="inlineStr">
        <is>
          <t>scenario</t>
        </is>
      </c>
      <c r="J57" s="4" t="inlineStr">
        <is>
          <t>n/a</t>
        </is>
      </c>
      <c r="K57" s="4" t="inlineStr">
        <is>
          <t>scenario</t>
        </is>
      </c>
      <c r="L57" s="4" t="n"/>
      <c r="M57" s="4" t="n"/>
      <c r="N57" s="4" t="inlineStr"/>
    </row>
    <row r="58">
      <c r="A58" s="4" t="inlineStr">
        <is>
          <t>L29</t>
        </is>
      </c>
      <c r="B58" s="4" t="inlineStr">
        <is>
          <t>Threshold: credit cost on a 12-month vintage</t>
        </is>
      </c>
      <c r="C58" s="5" t="n">
        <v>0.025</v>
      </c>
      <c r="D58" s="4" t="inlineStr">
        <is>
          <t>share of assets</t>
        </is>
      </c>
      <c r="E58" s="4" t="inlineStr">
        <is>
          <t>test</t>
        </is>
      </c>
      <c r="F58" s="4" t="inlineStr">
        <is>
          <t>Author's test</t>
        </is>
      </c>
      <c r="G58" s="4" t="inlineStr"/>
      <c r="H58" s="4" t="inlineStr"/>
      <c r="I58" s="4" t="inlineStr">
        <is>
          <t>scenario</t>
        </is>
      </c>
      <c r="J58" s="4" t="inlineStr">
        <is>
          <t>n/a</t>
        </is>
      </c>
      <c r="K58" s="4" t="inlineStr">
        <is>
          <t>scenario</t>
        </is>
      </c>
      <c r="L58" s="4" t="n"/>
      <c r="M58" s="4" t="n"/>
      <c r="N58" s="4" t="inlineStr"/>
    </row>
    <row r="59">
      <c r="A59" s="4" t="inlineStr">
        <is>
          <t>L30</t>
        </is>
      </c>
      <c r="B59" s="4" t="inlineStr">
        <is>
          <t>Suryoday SFB credit lines on UPI with Paytm: sanctioned limit in 8 months</t>
        </is>
      </c>
      <c r="C59" s="5" t="n">
        <v>360</v>
      </c>
      <c r="D59" s="4" t="inlineStr">
        <is>
          <t>INR crore</t>
        </is>
      </c>
      <c r="E59" s="4" t="inlineStr">
        <is>
          <t>Aug 2025 to Apr 2026</t>
        </is>
      </c>
      <c r="F59" s="4" t="inlineStr">
        <is>
          <t>Business Standard, 23 Jun 2026</t>
        </is>
      </c>
      <c r="G59" s="4" t="inlineStr">
        <is>
          <t>https://www.business-standard.com/finance/news/prime-borrowers-emerge-as-key-users-of-credit-lines-on-upi-126062300650_1.html</t>
        </is>
      </c>
      <c r="H59" s="4" t="inlineStr">
        <is>
          <t>2026-06-23</t>
        </is>
      </c>
      <c r="I59" s="4" t="inlineStr">
        <is>
          <t>company via daily</t>
        </is>
      </c>
      <c r="J59" s="4" t="inlineStr">
        <is>
          <t>M</t>
        </is>
      </c>
      <c r="K59" s="4" t="inlineStr">
        <is>
          <t>verified</t>
        </is>
      </c>
      <c r="L59" s="4" t="n"/>
      <c r="M59" s="4" t="n"/>
      <c r="N59" s="4" t="inlineStr">
        <is>
          <t>Sanctioned, not drawn.</t>
        </is>
      </c>
    </row>
    <row r="60">
      <c r="A60" s="4" t="inlineStr">
        <is>
          <t>L31</t>
        </is>
      </c>
      <c r="B60" s="4" t="inlineStr">
        <is>
          <t>Suryoday SFB credit lines on UPI: amount drawn</t>
        </is>
      </c>
      <c r="C60" s="5" t="n">
        <v>102</v>
      </c>
      <c r="D60" s="4" t="inlineStr">
        <is>
          <t>INR crore</t>
        </is>
      </c>
      <c r="E60" s="4" t="inlineStr">
        <is>
          <t>Aug 2025 to Apr 2026</t>
        </is>
      </c>
      <c r="F60" s="4" t="inlineStr">
        <is>
          <t>Business Standard, 23 Jun 2026</t>
        </is>
      </c>
      <c r="G60" s="4" t="inlineStr">
        <is>
          <t>https://www.business-standard.com/finance/news/prime-borrowers-emerge-as-key-users-of-credit-lines-on-upi-126062300650_1.html</t>
        </is>
      </c>
      <c r="H60" s="4" t="inlineStr">
        <is>
          <t>2026-06-23</t>
        </is>
      </c>
      <c r="I60" s="4" t="inlineStr">
        <is>
          <t>company via daily</t>
        </is>
      </c>
      <c r="J60" s="4" t="inlineStr">
        <is>
          <t>M</t>
        </is>
      </c>
      <c r="K60" s="4" t="inlineStr">
        <is>
          <t>verified</t>
        </is>
      </c>
      <c r="L60" s="4" t="n"/>
      <c r="M60" s="4" t="n"/>
      <c r="N60" s="4" t="inlineStr"/>
    </row>
    <row r="61">
      <c r="A61" s="4" t="inlineStr">
        <is>
          <t>L32</t>
        </is>
      </c>
      <c r="B61" s="4" t="inlineStr">
        <is>
          <t>Suryoday SFB credit lines on UPI: active users</t>
        </is>
      </c>
      <c r="C61" s="5" t="n">
        <v>240000</v>
      </c>
      <c r="D61" s="4" t="inlineStr">
        <is>
          <t>customers</t>
        </is>
      </c>
      <c r="E61" s="4" t="inlineStr">
        <is>
          <t>Apr 2026</t>
        </is>
      </c>
      <c r="F61" s="4" t="inlineStr">
        <is>
          <t>Business Standard, 23 Jun 2026</t>
        </is>
      </c>
      <c r="G61" s="4" t="inlineStr">
        <is>
          <t>https://www.business-standard.com/finance/news/prime-borrowers-emerge-as-key-users-of-credit-lines-on-upi-126062300650_1.html</t>
        </is>
      </c>
      <c r="H61" s="4" t="inlineStr">
        <is>
          <t>2026-06-23</t>
        </is>
      </c>
      <c r="I61" s="4" t="inlineStr">
        <is>
          <t>company via daily</t>
        </is>
      </c>
      <c r="J61" s="4" t="inlineStr">
        <is>
          <t>M</t>
        </is>
      </c>
      <c r="K61" s="4" t="inlineStr">
        <is>
          <t>verified</t>
        </is>
      </c>
      <c r="L61" s="4" t="n"/>
      <c r="M61" s="4" t="n"/>
      <c r="N61" s="4" t="inlineStr">
        <is>
          <t>5.3 lakh sanctioned; v6 said 5 lakh customers.</t>
        </is>
      </c>
    </row>
    <row r="62">
      <c r="A62" s="4" t="inlineStr">
        <is>
          <t>I1</t>
        </is>
      </c>
      <c r="B62" s="4" t="inlineStr">
        <is>
          <t>Example individual health policy premium (scenario)</t>
        </is>
      </c>
      <c r="C62" s="5" t="n">
        <v>20000</v>
      </c>
      <c r="D62" s="4" t="inlineStr">
        <is>
          <t>INR per year</t>
        </is>
      </c>
      <c r="E62" s="4" t="inlineStr">
        <is>
          <t>scenario</t>
        </is>
      </c>
      <c r="F62" s="4" t="inlineStr">
        <is>
          <t>Chosen for the example</t>
        </is>
      </c>
      <c r="G62" s="4" t="inlineStr"/>
      <c r="H62" s="4" t="inlineStr"/>
      <c r="I62" s="4" t="inlineStr">
        <is>
          <t>scenario</t>
        </is>
      </c>
      <c r="J62" s="4" t="inlineStr">
        <is>
          <t>n/a</t>
        </is>
      </c>
      <c r="K62" s="4" t="inlineStr">
        <is>
          <t>scenario</t>
        </is>
      </c>
      <c r="L62" s="4" t="n"/>
      <c r="M62" s="4" t="n"/>
      <c r="N62" s="4" t="inlineStr"/>
    </row>
    <row r="63">
      <c r="A63" s="4" t="inlineStr">
        <is>
          <t>I2</t>
        </is>
      </c>
      <c r="B63" s="4" t="inlineStr">
        <is>
          <t>First-year commission to an online distributor, individual health</t>
        </is>
      </c>
      <c r="C63" s="6" t="n">
        <v>0.175</v>
      </c>
      <c r="D63" s="4" t="inlineStr">
        <is>
          <t>share of first-year premium</t>
        </is>
      </c>
      <c r="E63" s="4" t="inlineStr">
        <is>
          <t>2026</t>
        </is>
      </c>
      <c r="F63" s="4" t="inlineStr">
        <is>
          <t>Assumption; IRDAI 2023 expense regulations set insurer-level ceilings</t>
        </is>
      </c>
      <c r="G63" s="4" t="inlineStr"/>
      <c r="H63" s="4" t="inlineStr"/>
      <c r="I63" s="4" t="inlineStr">
        <is>
          <t>assumption</t>
        </is>
      </c>
      <c r="J63" s="4" t="inlineStr">
        <is>
          <t>L</t>
        </is>
      </c>
      <c r="K63" s="7" t="inlineStr">
        <is>
          <t>assumption</t>
        </is>
      </c>
      <c r="L63" s="6" t="n">
        <v>0.15</v>
      </c>
      <c r="M63" s="6" t="n">
        <v>0.2</v>
      </c>
      <c r="N63" s="4" t="inlineStr"/>
    </row>
    <row r="64">
      <c r="A64" s="4" t="inlineStr">
        <is>
          <t>I3</t>
        </is>
      </c>
      <c r="B64" s="4" t="inlineStr">
        <is>
          <t>Renewal commission</t>
        </is>
      </c>
      <c r="C64" s="6" t="n">
        <v>0.075</v>
      </c>
      <c r="D64" s="4" t="inlineStr">
        <is>
          <t>share of renewal premium</t>
        </is>
      </c>
      <c r="E64" s="4" t="inlineStr">
        <is>
          <t>2026</t>
        </is>
      </c>
      <c r="F64" s="4" t="inlineStr">
        <is>
          <t>Assumption</t>
        </is>
      </c>
      <c r="G64" s="4" t="inlineStr"/>
      <c r="H64" s="4" t="inlineStr"/>
      <c r="I64" s="4" t="inlineStr">
        <is>
          <t>assumption</t>
        </is>
      </c>
      <c r="J64" s="4" t="inlineStr">
        <is>
          <t>L</t>
        </is>
      </c>
      <c r="K64" s="7" t="inlineStr">
        <is>
          <t>assumption</t>
        </is>
      </c>
      <c r="L64" s="6" t="n">
        <v>0.05</v>
      </c>
      <c r="M64" s="6" t="n">
        <v>0.1</v>
      </c>
      <c r="N64" s="4" t="inlineStr"/>
    </row>
    <row r="65">
      <c r="A65" s="4" t="inlineStr">
        <is>
          <t>I4</t>
        </is>
      </c>
      <c r="B65" s="4" t="inlineStr">
        <is>
          <t>Persistency (share of policies renewed)</t>
        </is>
      </c>
      <c r="C65" s="6" t="n">
        <v>0.8</v>
      </c>
      <c r="D65" s="4" t="inlineStr">
        <is>
          <t>share</t>
        </is>
      </c>
      <c r="E65" s="4" t="inlineStr">
        <is>
          <t>2026</t>
        </is>
      </c>
      <c r="F65" s="4" t="inlineStr">
        <is>
          <t>Assumption; listed life insurers report 13th-month persistency in the 80s</t>
        </is>
      </c>
      <c r="G65" s="4" t="inlineStr"/>
      <c r="H65" s="4" t="inlineStr"/>
      <c r="I65" s="4" t="inlineStr">
        <is>
          <t>assumption</t>
        </is>
      </c>
      <c r="J65" s="4" t="inlineStr">
        <is>
          <t>M</t>
        </is>
      </c>
      <c r="K65" s="7" t="inlineStr">
        <is>
          <t>assumption</t>
        </is>
      </c>
      <c r="L65" s="6" t="n">
        <v>0.75</v>
      </c>
      <c r="M65" s="6" t="n">
        <v>0.85</v>
      </c>
      <c r="N65" s="4" t="inlineStr"/>
    </row>
    <row r="66">
      <c r="A66" s="4" t="inlineStr">
        <is>
          <t>I5</t>
        </is>
      </c>
      <c r="B66" s="4" t="inlineStr">
        <is>
          <t>Marketing and partner payouts as a share of first-year commission</t>
        </is>
      </c>
      <c r="C66" s="6" t="n">
        <v>0.5</v>
      </c>
      <c r="D66" s="4" t="inlineStr">
        <is>
          <t>share</t>
        </is>
      </c>
      <c r="E66" s="4" t="inlineStr">
        <is>
          <t>2026</t>
        </is>
      </c>
      <c r="F66" s="4" t="inlineStr">
        <is>
          <t>Assumption</t>
        </is>
      </c>
      <c r="G66" s="4" t="inlineStr"/>
      <c r="H66" s="4" t="inlineStr"/>
      <c r="I66" s="4" t="inlineStr">
        <is>
          <t>assumption</t>
        </is>
      </c>
      <c r="J66" s="4" t="inlineStr">
        <is>
          <t>L</t>
        </is>
      </c>
      <c r="K66" s="7" t="inlineStr">
        <is>
          <t>assumption</t>
        </is>
      </c>
      <c r="L66" s="6" t="n">
        <v>0.4</v>
      </c>
      <c r="M66" s="6" t="n">
        <v>0.6</v>
      </c>
      <c r="N66" s="4" t="inlineStr"/>
    </row>
    <row r="67">
      <c r="A67" s="4" t="inlineStr">
        <is>
          <t>I6</t>
        </is>
      </c>
      <c r="B67" s="4" t="inlineStr">
        <is>
          <t>PB Fintech PAT, Q1 FY27</t>
        </is>
      </c>
      <c r="C67" s="5" t="n">
        <v>163</v>
      </c>
      <c r="D67" s="4" t="inlineStr">
        <is>
          <t>INR crore</t>
        </is>
      </c>
      <c r="E67" s="4" t="inlineStr">
        <is>
          <t>Apr-Jun 2026</t>
        </is>
      </c>
      <c r="F67" s="4" t="inlineStr">
        <is>
          <t>Entrackr</t>
        </is>
      </c>
      <c r="G67" s="4" t="inlineStr">
        <is>
          <t>https://entrackr.com/fintrackr/policybazaar-parent-pb-fintechs-profit-jumps-92-to-rs-163-crore-in-q1-fy27-12233370</t>
        </is>
      </c>
      <c r="H67" s="4" t="inlineStr">
        <is>
          <t>2026-08</t>
        </is>
      </c>
      <c r="I67" s="4" t="inlineStr">
        <is>
          <t>company via secondary</t>
        </is>
      </c>
      <c r="J67" s="4" t="inlineStr">
        <is>
          <t>H</t>
        </is>
      </c>
      <c r="K67" s="4" t="inlineStr">
        <is>
          <t>verified</t>
        </is>
      </c>
      <c r="L67" s="4" t="n"/>
      <c r="M67" s="4" t="n"/>
      <c r="N67" s="4" t="inlineStr"/>
    </row>
    <row r="68">
      <c r="A68" s="4" t="inlineStr">
        <is>
          <t>I7</t>
        </is>
      </c>
      <c r="B68" s="4" t="inlineStr">
        <is>
          <t>PB Fintech share price fall over four sessions after the IRDAI paper</t>
        </is>
      </c>
      <c r="C68" s="5" t="n">
        <v>0.43</v>
      </c>
      <c r="D68" s="4" t="inlineStr">
        <is>
          <t>share</t>
        </is>
      </c>
      <c r="E68" s="4" t="inlineStr">
        <is>
          <t>23-29 Sep 2026</t>
        </is>
      </c>
      <c r="F68" s="4" t="inlineStr">
        <is>
          <t>Business Standard</t>
        </is>
      </c>
      <c r="G68" s="4" t="inlineStr">
        <is>
          <t>https://www.business-standard.com/markets/capital-market-news/pb-fintech-sinks-43-in-four-sessions-as-irdai-proposals-spark-concerns-126092900785_1.html</t>
        </is>
      </c>
      <c r="H68" s="4" t="inlineStr">
        <is>
          <t>2026-09-29</t>
        </is>
      </c>
      <c r="I68" s="4" t="inlineStr">
        <is>
          <t>exchange via daily</t>
        </is>
      </c>
      <c r="J68" s="4" t="inlineStr">
        <is>
          <t>H</t>
        </is>
      </c>
      <c r="K68" s="4" t="inlineStr">
        <is>
          <t>verified</t>
        </is>
      </c>
      <c r="L68" s="4" t="n"/>
      <c r="M68" s="4" t="n"/>
      <c r="N68" s="4" t="inlineStr"/>
    </row>
    <row r="69">
      <c r="A69" s="4" t="inlineStr">
        <is>
          <t>I8</t>
        </is>
      </c>
      <c r="B69" s="4" t="inlineStr">
        <is>
          <t>Go Digit PAT change, Q1 FY27, year on year</t>
        </is>
      </c>
      <c r="C69" s="5" t="n">
        <v>-0.38</v>
      </c>
      <c r="D69" s="4" t="inlineStr">
        <is>
          <t>share</t>
        </is>
      </c>
      <c r="E69" s="4" t="inlineStr">
        <is>
          <t>Apr-Jun 2026</t>
        </is>
      </c>
      <c r="F69" s="4" t="inlineStr">
        <is>
          <t>Entrackr</t>
        </is>
      </c>
      <c r="G69" s="4" t="inlineStr">
        <is>
          <t>https://entrackr.com/fintrackr/go-digit-reports-38-decline-in-q1-fy27-profit-as-claims-surge-12191857</t>
        </is>
      </c>
      <c r="H69" s="4" t="inlineStr">
        <is>
          <t>2026-08</t>
        </is>
      </c>
      <c r="I69" s="4" t="inlineStr">
        <is>
          <t>company via secondary</t>
        </is>
      </c>
      <c r="J69" s="4" t="inlineStr">
        <is>
          <t>H</t>
        </is>
      </c>
      <c r="K69" s="4" t="inlineStr">
        <is>
          <t>verified</t>
        </is>
      </c>
      <c r="L69" s="4" t="n"/>
      <c r="M69" s="4" t="n"/>
      <c r="N69" s="4" t="inlineStr"/>
    </row>
    <row r="70">
      <c r="A70" s="4" t="inlineStr">
        <is>
          <t>I9</t>
        </is>
      </c>
      <c r="B70" s="4" t="inlineStr">
        <is>
          <t>Go Digit gross written premium change, Q1 FY27</t>
        </is>
      </c>
      <c r="C70" s="5" t="n">
        <v>-0.08</v>
      </c>
      <c r="D70" s="4" t="inlineStr">
        <is>
          <t>share</t>
        </is>
      </c>
      <c r="E70" s="4" t="inlineStr">
        <is>
          <t>Apr-Jun 2026</t>
        </is>
      </c>
      <c r="F70" s="4" t="inlineStr">
        <is>
          <t>Entrackr</t>
        </is>
      </c>
      <c r="G70" s="4" t="inlineStr">
        <is>
          <t>https://entrackr.com/fintrackr/go-digit-reports-38-decline-in-q1-fy27-profit-as-claims-surge-12191857</t>
        </is>
      </c>
      <c r="H70" s="4" t="inlineStr">
        <is>
          <t>2026-08</t>
        </is>
      </c>
      <c r="I70" s="4" t="inlineStr">
        <is>
          <t>company via secondary</t>
        </is>
      </c>
      <c r="J70" s="4" t="inlineStr">
        <is>
          <t>H</t>
        </is>
      </c>
      <c r="K70" s="4" t="inlineStr">
        <is>
          <t>verified</t>
        </is>
      </c>
      <c r="L70" s="4" t="n"/>
      <c r="M70" s="4" t="n"/>
      <c r="N70" s="4" t="inlineStr"/>
    </row>
    <row r="71">
      <c r="A71" s="4" t="inlineStr">
        <is>
          <t>I10</t>
        </is>
      </c>
      <c r="B71" s="4" t="inlineStr">
        <is>
          <t>Acko (insurance arm) profit, FY26</t>
        </is>
      </c>
      <c r="C71" s="5" t="n">
        <v>43.6</v>
      </c>
      <c r="D71" s="4" t="inlineStr">
        <is>
          <t>INR crore</t>
        </is>
      </c>
      <c r="E71" s="4" t="inlineStr">
        <is>
          <t>FY26</t>
        </is>
      </c>
      <c r="F71" s="4" t="inlineStr">
        <is>
          <t>Inc42</t>
        </is>
      </c>
      <c r="G71" s="4" t="inlineStr">
        <is>
          <t>https://inc42.com/buzz/ipo-bound-acko-turns-profitable-posts-%E2%82%B943-6-cr-profit-in-fy26/</t>
        </is>
      </c>
      <c r="H71" s="4" t="inlineStr">
        <is>
          <t>2026-09</t>
        </is>
      </c>
      <c r="I71" s="4" t="inlineStr">
        <is>
          <t>company via secondary</t>
        </is>
      </c>
      <c r="J71" s="4" t="inlineStr">
        <is>
          <t>M</t>
        </is>
      </c>
      <c r="K71" s="4" t="inlineStr">
        <is>
          <t>verified</t>
        </is>
      </c>
      <c r="L71" s="4" t="n"/>
      <c r="M71" s="4" t="n"/>
      <c r="N71" s="4" t="inlineStr"/>
    </row>
    <row r="72">
      <c r="A72" s="4" t="inlineStr">
        <is>
          <t>I11</t>
        </is>
      </c>
      <c r="B72" s="4" t="inlineStr">
        <is>
          <t>Individual health insurance premium growth, Oct 2025 to Mar 2026, after GST exemption</t>
        </is>
      </c>
      <c r="C72" s="5" t="n">
        <v>0.297</v>
      </c>
      <c r="D72" s="4" t="inlineStr">
        <is>
          <t>share</t>
        </is>
      </c>
      <c r="E72" s="4" t="inlineStr">
        <is>
          <t>Oct 2025-Mar 2026</t>
        </is>
      </c>
      <c r="F72" s="4" t="inlineStr">
        <is>
          <t>Lok Sabha reply via A2Z Taxcorp</t>
        </is>
      </c>
      <c r="G72" s="4" t="inlineStr">
        <is>
          <t>https://a2ztaxcorp.net/lok-sabha-gst-exemption-makes-individual-life-and-health-insurance-more-affordable-individual-health-insurance-premium-collection-records-29-7-growth/</t>
        </is>
      </c>
      <c r="H72" s="4" t="inlineStr">
        <is>
          <t>2026</t>
        </is>
      </c>
      <c r="I72" s="4" t="inlineStr">
        <is>
          <t>government via secondary</t>
        </is>
      </c>
      <c r="J72" s="4" t="inlineStr">
        <is>
          <t>M</t>
        </is>
      </c>
      <c r="K72" s="4" t="inlineStr">
        <is>
          <t>verified</t>
        </is>
      </c>
      <c r="L72" s="4" t="n"/>
      <c r="M72" s="4" t="n"/>
      <c r="N72" s="4" t="inlineStr">
        <is>
          <t>Comparison period grew 7.0%.</t>
        </is>
      </c>
    </row>
    <row r="73">
      <c r="A73" s="4" t="inlineStr">
        <is>
          <t>I12</t>
        </is>
      </c>
      <c r="B73" s="4" t="inlineStr">
        <is>
          <t>Individual life premium growth, same period</t>
        </is>
      </c>
      <c r="C73" s="5" t="n">
        <v>0.112</v>
      </c>
      <c r="D73" s="4" t="inlineStr">
        <is>
          <t>share</t>
        </is>
      </c>
      <c r="E73" s="4" t="inlineStr">
        <is>
          <t>Oct 2025-Mar 2026</t>
        </is>
      </c>
      <c r="F73" s="4" t="inlineStr">
        <is>
          <t>Lok Sabha reply via A2Z Taxcorp</t>
        </is>
      </c>
      <c r="G73" s="4" t="inlineStr">
        <is>
          <t>https://a2ztaxcorp.net/lok-sabha-gst-exemption-makes-individual-life-and-health-insurance-more-affordable-individual-health-insurance-premium-collection-records-29-7-growth/</t>
        </is>
      </c>
      <c r="H73" s="4" t="inlineStr">
        <is>
          <t>2026</t>
        </is>
      </c>
      <c r="I73" s="4" t="inlineStr">
        <is>
          <t>government via secondary</t>
        </is>
      </c>
      <c r="J73" s="4" t="inlineStr">
        <is>
          <t>M</t>
        </is>
      </c>
      <c r="K73" s="4" t="inlineStr">
        <is>
          <t>verified</t>
        </is>
      </c>
      <c r="L73" s="4" t="n"/>
      <c r="M73" s="4" t="n"/>
      <c r="N73" s="4" t="inlineStr"/>
    </row>
    <row r="74">
      <c r="A74" s="4" t="inlineStr">
        <is>
          <t>I13</t>
        </is>
      </c>
      <c r="B74" s="4" t="inlineStr">
        <is>
          <t>Claims software price per claim handled</t>
        </is>
      </c>
      <c r="C74" s="6" t="n">
        <v>150</v>
      </c>
      <c r="D74" s="4" t="inlineStr">
        <is>
          <t>INR per claim</t>
        </is>
      </c>
      <c r="E74" s="4" t="inlineStr">
        <is>
          <t>2026</t>
        </is>
      </c>
      <c r="F74" s="4" t="inlineStr">
        <is>
          <t>Assumption</t>
        </is>
      </c>
      <c r="G74" s="4" t="inlineStr"/>
      <c r="H74" s="4" t="inlineStr"/>
      <c r="I74" s="4" t="inlineStr">
        <is>
          <t>assumption</t>
        </is>
      </c>
      <c r="J74" s="4" t="inlineStr">
        <is>
          <t>L</t>
        </is>
      </c>
      <c r="K74" s="7" t="inlineStr">
        <is>
          <t>assumption</t>
        </is>
      </c>
      <c r="L74" s="6" t="n">
        <v>50</v>
      </c>
      <c r="M74" s="6" t="n">
        <v>300</v>
      </c>
      <c r="N74" s="4" t="inlineStr"/>
    </row>
    <row r="75">
      <c r="A75" s="4" t="inlineStr">
        <is>
          <t>I14</t>
        </is>
      </c>
      <c r="B75" s="4" t="inlineStr">
        <is>
          <t>Insurer's own cost per claim handled</t>
        </is>
      </c>
      <c r="C75" s="6" t="n">
        <v>1000</v>
      </c>
      <c r="D75" s="4" t="inlineStr">
        <is>
          <t>INR per claim</t>
        </is>
      </c>
      <c r="E75" s="4" t="inlineStr">
        <is>
          <t>2026</t>
        </is>
      </c>
      <c r="F75" s="4" t="inlineStr">
        <is>
          <t>Assumption</t>
        </is>
      </c>
      <c r="G75" s="4" t="inlineStr"/>
      <c r="H75" s="4" t="inlineStr"/>
      <c r="I75" s="4" t="inlineStr">
        <is>
          <t>assumption</t>
        </is>
      </c>
      <c r="J75" s="4" t="inlineStr">
        <is>
          <t>L</t>
        </is>
      </c>
      <c r="K75" s="7" t="inlineStr">
        <is>
          <t>assumption</t>
        </is>
      </c>
      <c r="L75" s="6" t="n">
        <v>500</v>
      </c>
      <c r="M75" s="6" t="n">
        <v>2000</v>
      </c>
      <c r="N75" s="4" t="inlineStr"/>
    </row>
    <row r="76">
      <c r="A76" s="4" t="inlineStr">
        <is>
          <t>I15</t>
        </is>
      </c>
      <c r="B76" s="4" t="inlineStr">
        <is>
          <t>Turtlemint IPO issue price</t>
        </is>
      </c>
      <c r="C76" s="5" t="n">
        <v>152</v>
      </c>
      <c r="D76" s="4" t="inlineStr">
        <is>
          <t>INR per share</t>
        </is>
      </c>
      <c r="E76" s="4" t="inlineStr">
        <is>
          <t>Jun 2026</t>
        </is>
      </c>
      <c r="F76" s="4" t="inlineStr">
        <is>
          <t>Inc42 IPO tracker</t>
        </is>
      </c>
      <c r="G76" s="4" t="inlineStr">
        <is>
          <t>https://inc42.com/features/indian-startup-ipo-tracker-2026/</t>
        </is>
      </c>
      <c r="H76" s="4" t="inlineStr">
        <is>
          <t>2026-06</t>
        </is>
      </c>
      <c r="I76" s="4" t="inlineStr">
        <is>
          <t>exchange via secondary</t>
        </is>
      </c>
      <c r="J76" s="4" t="inlineStr">
        <is>
          <t>M</t>
        </is>
      </c>
      <c r="K76" s="4" t="inlineStr">
        <is>
          <t>verified</t>
        </is>
      </c>
      <c r="L76" s="4" t="n"/>
      <c r="M76" s="4" t="n"/>
      <c r="N76" s="4" t="inlineStr"/>
    </row>
    <row r="77">
      <c r="A77" s="4" t="inlineStr">
        <is>
          <t>I16</t>
        </is>
      </c>
      <c r="B77" s="4" t="inlineStr">
        <is>
          <t>Turtlemint share price, late Sep 2026 (midpoint of Rs 87-109)</t>
        </is>
      </c>
      <c r="C77" s="5" t="n">
        <v>98</v>
      </c>
      <c r="D77" s="4" t="inlineStr">
        <is>
          <t>INR per share</t>
        </is>
      </c>
      <c r="E77" s="4" t="inlineStr">
        <is>
          <t>late Sep 2026</t>
        </is>
      </c>
      <c r="F77" s="4" t="inlineStr">
        <is>
          <t>Inc42</t>
        </is>
      </c>
      <c r="G77" s="4" t="inlineStr">
        <is>
          <t>https://inc42.com/features/policybazaar-turtlemint-feel-the-squeeze/</t>
        </is>
      </c>
      <c r="H77" s="4" t="inlineStr">
        <is>
          <t>2026-09-29</t>
        </is>
      </c>
      <c r="I77" s="4" t="inlineStr">
        <is>
          <t>exchange via secondary</t>
        </is>
      </c>
      <c r="J77" s="4" t="inlineStr">
        <is>
          <t>M</t>
        </is>
      </c>
      <c r="K77" s="4" t="inlineStr">
        <is>
          <t>verified</t>
        </is>
      </c>
      <c r="L77" s="5" t="n">
        <v>87</v>
      </c>
      <c r="M77" s="5" t="n">
        <v>109</v>
      </c>
      <c r="N77" s="4" t="inlineStr"/>
    </row>
    <row r="78">
      <c r="A78" s="4" t="inlineStr">
        <is>
          <t>W1</t>
        </is>
      </c>
      <c r="B78" s="4" t="inlineStr">
        <is>
          <t>Example investor assets (scenario)</t>
        </is>
      </c>
      <c r="C78" s="5" t="n">
        <v>500000</v>
      </c>
      <c r="D78" s="4" t="inlineStr">
        <is>
          <t>INR</t>
        </is>
      </c>
      <c r="E78" s="4" t="inlineStr">
        <is>
          <t>scenario</t>
        </is>
      </c>
      <c r="F78" s="4" t="inlineStr">
        <is>
          <t>Chosen for the example</t>
        </is>
      </c>
      <c r="G78" s="4" t="inlineStr"/>
      <c r="H78" s="4" t="inlineStr"/>
      <c r="I78" s="4" t="inlineStr">
        <is>
          <t>scenario</t>
        </is>
      </c>
      <c r="J78" s="4" t="inlineStr">
        <is>
          <t>n/a</t>
        </is>
      </c>
      <c r="K78" s="4" t="inlineStr">
        <is>
          <t>scenario</t>
        </is>
      </c>
      <c r="L78" s="4" t="n"/>
      <c r="M78" s="4" t="n"/>
      <c r="N78" s="4" t="inlineStr"/>
    </row>
    <row r="79">
      <c r="A79" s="4" t="inlineStr">
        <is>
          <t>W2</t>
        </is>
      </c>
      <c r="B79" s="4" t="inlineStr">
        <is>
          <t>Trail commission on regular-plan equity funds</t>
        </is>
      </c>
      <c r="C79" s="6" t="n">
        <v>0.0065</v>
      </c>
      <c r="D79" s="4" t="inlineStr">
        <is>
          <t>share of assets per year</t>
        </is>
      </c>
      <c r="E79" s="4" t="inlineStr">
        <is>
          <t>2026</t>
        </is>
      </c>
      <c r="F79" s="4" t="inlineStr">
        <is>
          <t>Assumption; AMFI commission disclosures are the check</t>
        </is>
      </c>
      <c r="G79" s="4" t="inlineStr"/>
      <c r="H79" s="4" t="inlineStr"/>
      <c r="I79" s="4" t="inlineStr">
        <is>
          <t>assumption</t>
        </is>
      </c>
      <c r="J79" s="4" t="inlineStr">
        <is>
          <t>L</t>
        </is>
      </c>
      <c r="K79" s="7" t="inlineStr">
        <is>
          <t>assumption</t>
        </is>
      </c>
      <c r="L79" s="6" t="n">
        <v>0.003</v>
      </c>
      <c r="M79" s="6" t="n">
        <v>0.01</v>
      </c>
      <c r="N79" s="4" t="inlineStr">
        <is>
          <t>MF Regulations 2026 cut brokerage caps from 1 Apr 2026.</t>
        </is>
      </c>
    </row>
    <row r="80">
      <c r="A80" s="4" t="inlineStr">
        <is>
          <t>W3</t>
        </is>
      </c>
      <c r="B80" s="4" t="inlineStr">
        <is>
          <t>Advisory fee as a share of assets</t>
        </is>
      </c>
      <c r="C80" s="6" t="n">
        <v>0.0075</v>
      </c>
      <c r="D80" s="4" t="inlineStr">
        <is>
          <t>share of assets per year</t>
        </is>
      </c>
      <c r="E80" s="4" t="inlineStr">
        <is>
          <t>2026</t>
        </is>
      </c>
      <c r="F80" s="4" t="inlineStr">
        <is>
          <t>Assumption</t>
        </is>
      </c>
      <c r="G80" s="4" t="inlineStr"/>
      <c r="H80" s="4" t="inlineStr"/>
      <c r="I80" s="4" t="inlineStr">
        <is>
          <t>assumption</t>
        </is>
      </c>
      <c r="J80" s="4" t="inlineStr">
        <is>
          <t>L</t>
        </is>
      </c>
      <c r="K80" s="7" t="inlineStr">
        <is>
          <t>assumption</t>
        </is>
      </c>
      <c r="L80" s="6" t="n">
        <v>0.005</v>
      </c>
      <c r="M80" s="6" t="n">
        <v>0.01</v>
      </c>
      <c r="N80" s="4" t="inlineStr"/>
    </row>
    <row r="81">
      <c r="A81" s="4" t="inlineStr">
        <is>
          <t>W4</t>
        </is>
      </c>
      <c r="B81" s="4" t="inlineStr">
        <is>
          <t>Cost to win one advisory client</t>
        </is>
      </c>
      <c r="C81" s="6" t="n">
        <v>9000</v>
      </c>
      <c r="D81" s="4" t="inlineStr">
        <is>
          <t>INR</t>
        </is>
      </c>
      <c r="E81" s="4" t="inlineStr">
        <is>
          <t>2026</t>
        </is>
      </c>
      <c r="F81" s="4" t="inlineStr">
        <is>
          <t>Assumption</t>
        </is>
      </c>
      <c r="G81" s="4" t="inlineStr"/>
      <c r="H81" s="4" t="inlineStr"/>
      <c r="I81" s="4" t="inlineStr">
        <is>
          <t>assumption</t>
        </is>
      </c>
      <c r="J81" s="4" t="inlineStr">
        <is>
          <t>L</t>
        </is>
      </c>
      <c r="K81" s="7" t="inlineStr">
        <is>
          <t>assumption</t>
        </is>
      </c>
      <c r="L81" s="6" t="n">
        <v>3000</v>
      </c>
      <c r="M81" s="6" t="n">
        <v>15000</v>
      </c>
      <c r="N81" s="4" t="inlineStr"/>
    </row>
    <row r="82">
      <c r="A82" s="4" t="inlineStr">
        <is>
          <t>W5</t>
        </is>
      </c>
      <c r="B82" s="4" t="inlineStr">
        <is>
          <t>Fee on alternatives (SIF, AIF, PMS)</t>
        </is>
      </c>
      <c r="C82" s="6" t="n">
        <v>0.015</v>
      </c>
      <c r="D82" s="4" t="inlineStr">
        <is>
          <t>share of assets per year</t>
        </is>
      </c>
      <c r="E82" s="4" t="inlineStr">
        <is>
          <t>2026</t>
        </is>
      </c>
      <c r="F82" s="4" t="inlineStr">
        <is>
          <t>Assumption</t>
        </is>
      </c>
      <c r="G82" s="4" t="inlineStr"/>
      <c r="H82" s="4" t="inlineStr"/>
      <c r="I82" s="4" t="inlineStr">
        <is>
          <t>assumption</t>
        </is>
      </c>
      <c r="J82" s="4" t="inlineStr">
        <is>
          <t>L</t>
        </is>
      </c>
      <c r="K82" s="7" t="inlineStr">
        <is>
          <t>assumption</t>
        </is>
      </c>
      <c r="L82" s="6" t="n">
        <v>0.01</v>
      </c>
      <c r="M82" s="6" t="n">
        <v>0.02</v>
      </c>
      <c r="N82" s="4" t="inlineStr"/>
    </row>
    <row r="83">
      <c r="A83" s="4" t="inlineStr">
        <is>
          <t>W6</t>
        </is>
      </c>
      <c r="B83" s="4" t="inlineStr">
        <is>
          <t>Groww PAT, Q1 FY27</t>
        </is>
      </c>
      <c r="C83" s="5" t="n">
        <v>735</v>
      </c>
      <c r="D83" s="4" t="inlineStr">
        <is>
          <t>INR crore</t>
        </is>
      </c>
      <c r="E83" s="4" t="inlineStr">
        <is>
          <t>Apr-Jun 2026</t>
        </is>
      </c>
      <c r="F83" s="4" t="inlineStr">
        <is>
          <t>INDmoney company page</t>
        </is>
      </c>
      <c r="G83" s="4" t="inlineStr">
        <is>
          <t>https://www.indmoney.com/stocks/billionbrains-garage-ventures-ltd-share-price</t>
        </is>
      </c>
      <c r="H83" s="4" t="inlineStr">
        <is>
          <t>2026-09</t>
        </is>
      </c>
      <c r="I83" s="4" t="inlineStr">
        <is>
          <t>company via secondary</t>
        </is>
      </c>
      <c r="J83" s="4" t="inlineStr">
        <is>
          <t>M</t>
        </is>
      </c>
      <c r="K83" s="4" t="inlineStr">
        <is>
          <t>verified</t>
        </is>
      </c>
      <c r="L83" s="4" t="n"/>
      <c r="M83" s="4" t="n"/>
      <c r="N83" s="4" t="inlineStr"/>
    </row>
    <row r="84">
      <c r="A84" s="4" t="inlineStr">
        <is>
          <t>W7</t>
        </is>
      </c>
      <c r="B84" s="4" t="inlineStr">
        <is>
          <t>Groww share price over issue price, late Sep 2026</t>
        </is>
      </c>
      <c r="C84" s="5" t="n">
        <v>0.86</v>
      </c>
      <c r="D84" s="4" t="inlineStr">
        <is>
          <t>share</t>
        </is>
      </c>
      <c r="E84" s="4" t="inlineStr">
        <is>
          <t>2026-09-24</t>
        </is>
      </c>
      <c r="F84" s="4" t="inlineStr">
        <is>
          <t>INDmoney (Rs 185.55 vs Rs 100)</t>
        </is>
      </c>
      <c r="G84" s="4" t="inlineStr">
        <is>
          <t>https://www.indmoney.com/stocks/billionbrains-garage-ventures-ltd-share-price</t>
        </is>
      </c>
      <c r="H84" s="4" t="inlineStr">
        <is>
          <t>2026-09-24</t>
        </is>
      </c>
      <c r="I84" s="4" t="inlineStr">
        <is>
          <t>exchange via secondary</t>
        </is>
      </c>
      <c r="J84" s="4" t="inlineStr">
        <is>
          <t>M</t>
        </is>
      </c>
      <c r="K84" s="4" t="inlineStr">
        <is>
          <t>verified</t>
        </is>
      </c>
      <c r="L84" s="4" t="n"/>
      <c r="M84" s="4" t="n"/>
      <c r="N84" s="4" t="inlineStr"/>
    </row>
    <row r="85">
      <c r="A85" s="4" t="inlineStr">
        <is>
          <t>W8</t>
        </is>
      </c>
      <c r="B85" s="4" t="inlineStr">
        <is>
          <t>Zerodha revenue, FY26 (about)</t>
        </is>
      </c>
      <c r="C85" s="5" t="n">
        <v>8500</v>
      </c>
      <c r="D85" s="4" t="inlineStr">
        <is>
          <t>INR crore</t>
        </is>
      </c>
      <c r="E85" s="4" t="inlineStr">
        <is>
          <t>FY26</t>
        </is>
      </c>
      <c r="F85" s="4" t="inlineStr">
        <is>
          <t>IANS via SocialNews</t>
        </is>
      </c>
      <c r="G85" s="4" t="inlineStr">
        <is>
          <t>https://www.socialnews.xyz/2026/08/26/zerodhas-fy26-revenue-profit-stay-flat-at-rs-8500-crore-and-rs-4300-crore</t>
        </is>
      </c>
      <c r="H85" s="4" t="inlineStr">
        <is>
          <t>2026-08-26</t>
        </is>
      </c>
      <c r="I85" s="4" t="inlineStr">
        <is>
          <t>company statement via secondary</t>
        </is>
      </c>
      <c r="J85" s="4" t="inlineStr">
        <is>
          <t>M</t>
        </is>
      </c>
      <c r="K85" s="4" t="inlineStr">
        <is>
          <t>verified</t>
        </is>
      </c>
      <c r="L85" s="4" t="n"/>
      <c r="M85" s="4" t="n"/>
      <c r="N85" s="4" t="inlineStr"/>
    </row>
    <row r="86">
      <c r="A86" s="4" t="inlineStr">
        <is>
          <t>W9</t>
        </is>
      </c>
      <c r="B86" s="4" t="inlineStr">
        <is>
          <t>Zerodha profit, FY26 (about)</t>
        </is>
      </c>
      <c r="C86" s="5" t="n">
        <v>4300</v>
      </c>
      <c r="D86" s="4" t="inlineStr">
        <is>
          <t>INR crore</t>
        </is>
      </c>
      <c r="E86" s="4" t="inlineStr">
        <is>
          <t>FY26</t>
        </is>
      </c>
      <c r="F86" s="4" t="inlineStr">
        <is>
          <t>IANS via SocialNews</t>
        </is>
      </c>
      <c r="G86" s="4" t="inlineStr">
        <is>
          <t>https://www.socialnews.xyz/2026/08/26/zerodhas-fy26-revenue-profit-stay-flat-at-rs-8500-crore-and-rs-4300-crore</t>
        </is>
      </c>
      <c r="H86" s="4" t="inlineStr">
        <is>
          <t>2026-08-26</t>
        </is>
      </c>
      <c r="I86" s="4" t="inlineStr">
        <is>
          <t>company statement via secondary</t>
        </is>
      </c>
      <c r="J86" s="4" t="inlineStr">
        <is>
          <t>M</t>
        </is>
      </c>
      <c r="K86" s="4" t="inlineStr">
        <is>
          <t>verified</t>
        </is>
      </c>
      <c r="L86" s="4" t="n"/>
      <c r="M86" s="4" t="n"/>
      <c r="N86" s="4" t="inlineStr"/>
    </row>
    <row r="87">
      <c r="A87" s="4" t="inlineStr">
        <is>
          <t>W10</t>
        </is>
      </c>
      <c r="B87" s="4" t="inlineStr">
        <is>
          <t>Angel One PAT, Q1 FY27</t>
        </is>
      </c>
      <c r="C87" s="5" t="n">
        <v>231</v>
      </c>
      <c r="D87" s="4" t="inlineStr">
        <is>
          <t>INR crore</t>
        </is>
      </c>
      <c r="E87" s="4" t="inlineStr">
        <is>
          <t>Apr-Jun 2026</t>
        </is>
      </c>
      <c r="F87" s="4" t="inlineStr">
        <is>
          <t>Free Press Journal</t>
        </is>
      </c>
      <c r="G87" s="4" t="inlineStr">
        <is>
          <t>https://www.freepressjournal.in/business/angel-one-q1-fy27-net-profit-drops-278-qoq-to-231-crore-as-revenue-operating-margins-come-under-pressure</t>
        </is>
      </c>
      <c r="H87" s="4" t="inlineStr">
        <is>
          <t>2026-07</t>
        </is>
      </c>
      <c r="I87" s="4" t="inlineStr">
        <is>
          <t>company via daily</t>
        </is>
      </c>
      <c r="J87" s="4" t="inlineStr">
        <is>
          <t>M</t>
        </is>
      </c>
      <c r="K87" s="4" t="inlineStr">
        <is>
          <t>verified</t>
        </is>
      </c>
      <c r="L87" s="4" t="n"/>
      <c r="M87" s="4" t="n"/>
      <c r="N87" s="4" t="inlineStr"/>
    </row>
    <row r="88">
      <c r="A88" s="4" t="inlineStr">
        <is>
          <t>W11</t>
        </is>
      </c>
      <c r="B88" s="4" t="inlineStr">
        <is>
          <t>Share of individual F&amp;O traders who lost money, FY26</t>
        </is>
      </c>
      <c r="C88" s="5" t="n">
        <v>0.877</v>
      </c>
      <c r="D88" s="4" t="inlineStr">
        <is>
          <t>share</t>
        </is>
      </c>
      <c r="E88" s="4" t="inlineStr">
        <is>
          <t>FY26</t>
        </is>
      </c>
      <c r="F88" s="4" t="inlineStr">
        <is>
          <t>SEBI study, Aug 2026 (via Open magazine)</t>
        </is>
      </c>
      <c r="G88" s="4" t="inlineStr">
        <is>
          <t>https://openthemagazine.com/business/sebi-fo-loss-study-explained-why-9-in-10-retail-traders-lost-91685-crore-in-fy26</t>
        </is>
      </c>
      <c r="H88" s="4" t="inlineStr">
        <is>
          <t>2026-08-20</t>
        </is>
      </c>
      <c r="I88" s="4" t="inlineStr">
        <is>
          <t>regulator via secondary</t>
        </is>
      </c>
      <c r="J88" s="4" t="inlineStr">
        <is>
          <t>M</t>
        </is>
      </c>
      <c r="K88" s="4" t="inlineStr">
        <is>
          <t>verified</t>
        </is>
      </c>
      <c r="L88" s="4" t="n"/>
      <c r="M88" s="4" t="n"/>
      <c r="N88" s="4" t="inlineStr">
        <is>
          <t>Net losses Rs 91,685 cr.</t>
        </is>
      </c>
    </row>
    <row r="89">
      <c r="A89" s="4" t="inlineStr">
        <is>
          <t>W12</t>
        </is>
      </c>
      <c r="B89" s="4" t="inlineStr">
        <is>
          <t>Change in number of individual F&amp;O traders, FY26 (midpoint of -18 to -20%)</t>
        </is>
      </c>
      <c r="C89" s="5" t="n">
        <v>-0.19</v>
      </c>
      <c r="D89" s="4" t="inlineStr">
        <is>
          <t>share</t>
        </is>
      </c>
      <c r="E89" s="4" t="inlineStr">
        <is>
          <t>FY26</t>
        </is>
      </c>
      <c r="F89" s="4" t="inlineStr">
        <is>
          <t>SEBI study, Aug 2026</t>
        </is>
      </c>
      <c r="G89" s="4" t="inlineStr">
        <is>
          <t>https://openthemagazine.com/business/sebi-fo-loss-study-explained-why-9-in-10-retail-traders-lost-91685-crore-in-fy26</t>
        </is>
      </c>
      <c r="H89" s="4" t="inlineStr">
        <is>
          <t>2026-08-20</t>
        </is>
      </c>
      <c r="I89" s="4" t="inlineStr">
        <is>
          <t>regulator via secondary</t>
        </is>
      </c>
      <c r="J89" s="4" t="inlineStr">
        <is>
          <t>M</t>
        </is>
      </c>
      <c r="K89" s="4" t="inlineStr">
        <is>
          <t>verified</t>
        </is>
      </c>
      <c r="L89" s="5" t="n">
        <v>-0.2</v>
      </c>
      <c r="M89" s="5" t="n">
        <v>-0.18</v>
      </c>
      <c r="N89" s="4" t="inlineStr"/>
    </row>
    <row r="90">
      <c r="A90" s="4" t="inlineStr">
        <is>
          <t>W13</t>
        </is>
      </c>
      <c r="B90" s="4" t="inlineStr">
        <is>
          <t>STT on futures from 1 Apr 2026</t>
        </is>
      </c>
      <c r="C90" s="5" t="n">
        <v>0.0005</v>
      </c>
      <c r="D90" s="4" t="inlineStr">
        <is>
          <t>share of value</t>
        </is>
      </c>
      <c r="E90" s="4" t="inlineStr">
        <is>
          <t>from 1 Apr 2026</t>
        </is>
      </c>
      <c r="F90" s="4" t="inlineStr">
        <is>
          <t>Budget 2026 via Taxscan</t>
        </is>
      </c>
      <c r="G90" s="4" t="inlineStr">
        <is>
          <t>https://www.taxscan.in/top-stories/budget-proposes-hike-in-securities-transaction-tax-on-futures-and-options-1442614</t>
        </is>
      </c>
      <c r="H90" s="4" t="inlineStr">
        <is>
          <t>2026-02-01</t>
        </is>
      </c>
      <c r="I90" s="4" t="inlineStr">
        <is>
          <t>government via secondary</t>
        </is>
      </c>
      <c r="J90" s="4" t="inlineStr">
        <is>
          <t>H</t>
        </is>
      </c>
      <c r="K90" s="4" t="inlineStr">
        <is>
          <t>verified</t>
        </is>
      </c>
      <c r="L90" s="4" t="n"/>
      <c r="M90" s="4" t="n"/>
      <c r="N90" s="4" t="inlineStr">
        <is>
          <t>Was 0.02%.</t>
        </is>
      </c>
    </row>
    <row r="91">
      <c r="A91" s="4" t="inlineStr">
        <is>
          <t>W14</t>
        </is>
      </c>
      <c r="B91" s="4" t="inlineStr">
        <is>
          <t>STT on options from 1 Apr 2026</t>
        </is>
      </c>
      <c r="C91" s="5" t="n">
        <v>0.0015</v>
      </c>
      <c r="D91" s="4" t="inlineStr">
        <is>
          <t>share of premium</t>
        </is>
      </c>
      <c r="E91" s="4" t="inlineStr">
        <is>
          <t>from 1 Apr 2026</t>
        </is>
      </c>
      <c r="F91" s="4" t="inlineStr">
        <is>
          <t>Budget 2026 via Taxscan</t>
        </is>
      </c>
      <c r="G91" s="4" t="inlineStr">
        <is>
          <t>https://www.taxscan.in/top-stories/budget-proposes-hike-in-securities-transaction-tax-on-futures-and-options-1442614</t>
        </is>
      </c>
      <c r="H91" s="4" t="inlineStr">
        <is>
          <t>2026-02-01</t>
        </is>
      </c>
      <c r="I91" s="4" t="inlineStr">
        <is>
          <t>government via secondary</t>
        </is>
      </c>
      <c r="J91" s="4" t="inlineStr">
        <is>
          <t>H</t>
        </is>
      </c>
      <c r="K91" s="4" t="inlineStr">
        <is>
          <t>verified</t>
        </is>
      </c>
      <c r="L91" s="4" t="n"/>
      <c r="M91" s="4" t="n"/>
      <c r="N91" s="4" t="inlineStr">
        <is>
          <t>Was 0.1%.</t>
        </is>
      </c>
    </row>
    <row r="92">
      <c r="A92" s="4" t="inlineStr">
        <is>
          <t>W15</t>
        </is>
      </c>
      <c r="B92" s="4" t="inlineStr">
        <is>
          <t>Monthly SIP inflow, Aug 2026</t>
        </is>
      </c>
      <c r="C92" s="5" t="n">
        <v>32297</v>
      </c>
      <c r="D92" s="4" t="inlineStr">
        <is>
          <t>INR crore</t>
        </is>
      </c>
      <c r="E92" s="4" t="inlineStr">
        <is>
          <t>Aug 2026</t>
        </is>
      </c>
      <c r="F92" s="4" t="inlineStr">
        <is>
          <t>AMFI</t>
        </is>
      </c>
      <c r="G92" s="4" t="inlineStr">
        <is>
          <t>https://www.amfiindia.com/mutual-fund</t>
        </is>
      </c>
      <c r="H92" s="4" t="inlineStr">
        <is>
          <t>2026-09</t>
        </is>
      </c>
      <c r="I92" s="4" t="inlineStr">
        <is>
          <t>industry body</t>
        </is>
      </c>
      <c r="J92" s="4" t="inlineStr">
        <is>
          <t>H</t>
        </is>
      </c>
      <c r="K92" s="4" t="inlineStr">
        <is>
          <t>verified</t>
        </is>
      </c>
      <c r="L92" s="4" t="n"/>
      <c r="M92" s="4" t="n"/>
      <c r="N92" s="4" t="inlineStr"/>
    </row>
    <row r="93">
      <c r="A93" s="4" t="inlineStr">
        <is>
          <t>W16</t>
        </is>
      </c>
      <c r="B93" s="4" t="inlineStr">
        <is>
          <t>SIF (specialised investment funds) AUM</t>
        </is>
      </c>
      <c r="C93" s="5" t="n">
        <v>31175</v>
      </c>
      <c r="D93" s="4" t="inlineStr">
        <is>
          <t>INR crore</t>
        </is>
      </c>
      <c r="E93" s="4" t="inlineStr">
        <is>
          <t>Aug 2026</t>
        </is>
      </c>
      <c r="F93" s="4" t="inlineStr">
        <is>
          <t>AMFI via Whalesbook</t>
        </is>
      </c>
      <c r="G93" s="4" t="inlineStr">
        <is>
          <t>https://www.whalesbook.com/news/English/mutual-funds/Specialized-Investment-Funds-AUM-Grows-528percent-to-indian-rupee31175-Crore/6ab3689d5aacb956d07daf44</t>
        </is>
      </c>
      <c r="H93" s="4" t="inlineStr">
        <is>
          <t>2026-09</t>
        </is>
      </c>
      <c r="I93" s="4" t="inlineStr">
        <is>
          <t>industry body via secondary</t>
        </is>
      </c>
      <c r="J93" s="4" t="inlineStr">
        <is>
          <t>M</t>
        </is>
      </c>
      <c r="K93" s="4" t="inlineStr">
        <is>
          <t>verified</t>
        </is>
      </c>
      <c r="L93" s="4" t="n"/>
      <c r="M93" s="4" t="n"/>
      <c r="N93" s="4" t="inlineStr">
        <is>
          <t>33 schemes.</t>
        </is>
      </c>
    </row>
    <row r="94">
      <c r="A94" s="4" t="inlineStr">
        <is>
          <t>W17</t>
        </is>
      </c>
      <c r="B94" s="4" t="inlineStr">
        <is>
          <t>JioBlackRock AUM</t>
        </is>
      </c>
      <c r="C94" s="5" t="n">
        <v>18412</v>
      </c>
      <c r="D94" s="4" t="inlineStr">
        <is>
          <t>INR crore</t>
        </is>
      </c>
      <c r="E94" s="4" t="inlineStr">
        <is>
          <t>Jun 2026</t>
        </is>
      </c>
      <c r="F94" s="4" t="inlineStr">
        <is>
          <t>IIFL</t>
        </is>
      </c>
      <c r="G94" s="4" t="inlineStr">
        <is>
          <t>https://www.indiainfoline.com/news/companies/jio-financial-services-jfsl-q1-fy27-results-update</t>
        </is>
      </c>
      <c r="H94" s="4" t="inlineStr">
        <is>
          <t>2026-07</t>
        </is>
      </c>
      <c r="I94" s="4" t="inlineStr">
        <is>
          <t>company via secondary</t>
        </is>
      </c>
      <c r="J94" s="4" t="inlineStr">
        <is>
          <t>M</t>
        </is>
      </c>
      <c r="K94" s="4" t="inlineStr">
        <is>
          <t>verified</t>
        </is>
      </c>
      <c r="L94" s="4" t="n"/>
      <c r="M94" s="4" t="n"/>
      <c r="N94" s="4" t="inlineStr"/>
    </row>
    <row r="95">
      <c r="A95" s="4" t="inlineStr">
        <is>
          <t>W18</t>
        </is>
      </c>
      <c r="B95" s="4" t="inlineStr">
        <is>
          <t>Groww acquisition of Fisdom, deal value</t>
        </is>
      </c>
      <c r="C95" s="5" t="n">
        <v>150</v>
      </c>
      <c r="D95" s="4" t="inlineStr">
        <is>
          <t>USD million</t>
        </is>
      </c>
      <c r="E95" s="4" t="inlineStr">
        <is>
          <t>2025</t>
        </is>
      </c>
      <c r="F95" s="4" t="inlineStr">
        <is>
          <t>YourStory / Entrackr</t>
        </is>
      </c>
      <c r="G95" s="4" t="inlineStr">
        <is>
          <t>https://entrackr.com/</t>
        </is>
      </c>
      <c r="H95" s="4" t="inlineStr">
        <is>
          <t>2025</t>
        </is>
      </c>
      <c r="I95" s="4" t="inlineStr">
        <is>
          <t>secondary</t>
        </is>
      </c>
      <c r="J95" s="4" t="inlineStr">
        <is>
          <t>M</t>
        </is>
      </c>
      <c r="K95" s="4" t="inlineStr">
        <is>
          <t>verified</t>
        </is>
      </c>
      <c r="L95" s="4" t="n"/>
      <c r="M95" s="4" t="n"/>
      <c r="N95" s="4" t="inlineStr"/>
    </row>
    <row r="96">
      <c r="A96" s="4" t="inlineStr">
        <is>
          <t>W19</t>
        </is>
      </c>
      <c r="B96" s="4" t="inlineStr">
        <is>
          <t>Threshold: revenue as a share of assets for a wealth business to be fundable</t>
        </is>
      </c>
      <c r="C96" s="5" t="n">
        <v>0.006</v>
      </c>
      <c r="D96" s="4" t="inlineStr">
        <is>
          <t>share of assets per year</t>
        </is>
      </c>
      <c r="E96" s="4" t="inlineStr">
        <is>
          <t>test</t>
        </is>
      </c>
      <c r="F96" s="4" t="inlineStr">
        <is>
          <t>Author's test</t>
        </is>
      </c>
      <c r="G96" s="4" t="inlineStr"/>
      <c r="H96" s="4" t="inlineStr"/>
      <c r="I96" s="4" t="inlineStr">
        <is>
          <t>scenario</t>
        </is>
      </c>
      <c r="J96" s="4" t="inlineStr">
        <is>
          <t>n/a</t>
        </is>
      </c>
      <c r="K96" s="4" t="inlineStr">
        <is>
          <t>scenario</t>
        </is>
      </c>
      <c r="L96" s="4" t="n"/>
      <c r="M96" s="4" t="n"/>
      <c r="N96" s="4" t="inlineStr"/>
    </row>
    <row r="97">
      <c r="A97" s="4" t="inlineStr">
        <is>
          <t>W20</t>
        </is>
      </c>
      <c r="B97" s="4" t="inlineStr">
        <is>
          <t>Threshold: months to pay back client acquisition</t>
        </is>
      </c>
      <c r="C97" s="5" t="n">
        <v>18</v>
      </c>
      <c r="D97" s="4" t="inlineStr">
        <is>
          <t>months</t>
        </is>
      </c>
      <c r="E97" s="4" t="inlineStr">
        <is>
          <t>test</t>
        </is>
      </c>
      <c r="F97" s="4" t="inlineStr">
        <is>
          <t>Author's test</t>
        </is>
      </c>
      <c r="G97" s="4" t="inlineStr"/>
      <c r="H97" s="4" t="inlineStr"/>
      <c r="I97" s="4" t="inlineStr">
        <is>
          <t>scenario</t>
        </is>
      </c>
      <c r="J97" s="4" t="inlineStr">
        <is>
          <t>n/a</t>
        </is>
      </c>
      <c r="K97" s="4" t="inlineStr">
        <is>
          <t>scenario</t>
        </is>
      </c>
      <c r="L97" s="4" t="n"/>
      <c r="M97" s="4" t="n"/>
      <c r="N97" s="4" t="inlineStr"/>
    </row>
    <row r="98">
      <c r="A98" s="4" t="inlineStr">
        <is>
          <t>F1</t>
        </is>
      </c>
      <c r="B98" s="4" t="inlineStr">
        <is>
          <t>Price per identity or fraud check</t>
        </is>
      </c>
      <c r="C98" s="6" t="n">
        <v>10</v>
      </c>
      <c r="D98" s="4" t="inlineStr">
        <is>
          <t>INR per check</t>
        </is>
      </c>
      <c r="E98" s="4" t="inlineStr">
        <is>
          <t>2026</t>
        </is>
      </c>
      <c r="F98" s="4" t="inlineStr">
        <is>
          <t>Assumption; vendor price lists are the check</t>
        </is>
      </c>
      <c r="G98" s="4" t="inlineStr"/>
      <c r="H98" s="4" t="inlineStr"/>
      <c r="I98" s="4" t="inlineStr">
        <is>
          <t>assumption</t>
        </is>
      </c>
      <c r="J98" s="4" t="inlineStr">
        <is>
          <t>L</t>
        </is>
      </c>
      <c r="K98" s="7" t="inlineStr">
        <is>
          <t>assumption</t>
        </is>
      </c>
      <c r="L98" s="6" t="n">
        <v>2</v>
      </c>
      <c r="M98" s="6" t="n">
        <v>30</v>
      </c>
      <c r="N98" s="4" t="inlineStr"/>
    </row>
    <row r="99">
      <c r="A99" s="4" t="inlineStr">
        <is>
          <t>F2</t>
        </is>
      </c>
      <c r="B99" s="4" t="inlineStr">
        <is>
          <t>Annual contract value with one large bank</t>
        </is>
      </c>
      <c r="C99" s="6" t="n">
        <v>2</v>
      </c>
      <c r="D99" s="4" t="inlineStr">
        <is>
          <t>INR crore</t>
        </is>
      </c>
      <c r="E99" s="4" t="inlineStr">
        <is>
          <t>2026</t>
        </is>
      </c>
      <c r="F99" s="4" t="inlineStr">
        <is>
          <t>Assumption</t>
        </is>
      </c>
      <c r="G99" s="4" t="inlineStr"/>
      <c r="H99" s="4" t="inlineStr"/>
      <c r="I99" s="4" t="inlineStr">
        <is>
          <t>assumption</t>
        </is>
      </c>
      <c r="J99" s="4" t="inlineStr">
        <is>
          <t>L</t>
        </is>
      </c>
      <c r="K99" s="7" t="inlineStr">
        <is>
          <t>assumption</t>
        </is>
      </c>
      <c r="L99" s="6" t="n">
        <v>0.5</v>
      </c>
      <c r="M99" s="6" t="n">
        <v>5</v>
      </c>
      <c r="N99" s="4" t="inlineStr"/>
    </row>
    <row r="100">
      <c r="A100" s="4" t="inlineStr">
        <is>
          <t>F3</t>
        </is>
      </c>
      <c r="B100" s="4" t="inlineStr">
        <is>
          <t>Data fee per pull (bureau, database)</t>
        </is>
      </c>
      <c r="C100" s="6" t="n">
        <v>5</v>
      </c>
      <c r="D100" s="4" t="inlineStr">
        <is>
          <t>INR per pull</t>
        </is>
      </c>
      <c r="E100" s="4" t="inlineStr">
        <is>
          <t>2026</t>
        </is>
      </c>
      <c r="F100" s="4" t="inlineStr">
        <is>
          <t>Assumption; UIDAI e-KYC charge Rs 20 and Rs 0.50 per yes/no authentication (2019 notification) are the public anchors</t>
        </is>
      </c>
      <c r="G100" s="4" t="inlineStr"/>
      <c r="H100" s="4" t="inlineStr"/>
      <c r="I100" s="4" t="inlineStr">
        <is>
          <t>assumption</t>
        </is>
      </c>
      <c r="J100" s="4" t="inlineStr">
        <is>
          <t>L</t>
        </is>
      </c>
      <c r="K100" s="7" t="inlineStr">
        <is>
          <t>assumption</t>
        </is>
      </c>
      <c r="L100" s="6" t="n">
        <v>1</v>
      </c>
      <c r="M100" s="6" t="n">
        <v>15</v>
      </c>
      <c r="N100" s="4" t="inlineStr"/>
    </row>
    <row r="101">
      <c r="A101" s="4" t="inlineStr">
        <is>
          <t>F4</t>
        </is>
      </c>
      <c r="B101" s="4" t="inlineStr">
        <is>
          <t>Share of coerced-transaction fraud losses banks must compensate</t>
        </is>
      </c>
      <c r="C101" s="5" t="n">
        <v>0.85</v>
      </c>
      <c r="D101" s="4" t="inlineStr">
        <is>
          <t>share</t>
        </is>
      </c>
      <c r="E101" s="4" t="inlineStr">
        <is>
          <t>from 1 Jan 2027</t>
        </is>
      </c>
      <c r="F101" s="4" t="inlineStr">
        <is>
          <t>RBI directions, 24 Jun 2026 (via Lexology)</t>
        </is>
      </c>
      <c r="G101" s="4" t="inlineStr">
        <is>
          <t>https://www.lexology.com/library/detail.aspx?g=07edd0d8-9eed-4245-9cb1-10befde4e608</t>
        </is>
      </c>
      <c r="H101" s="4" t="inlineStr">
        <is>
          <t>2026-06-24</t>
        </is>
      </c>
      <c r="I101" s="4" t="inlineStr">
        <is>
          <t>regulator via law firm</t>
        </is>
      </c>
      <c r="J101" s="4" t="inlineStr">
        <is>
          <t>M</t>
        </is>
      </c>
      <c r="K101" s="4" t="inlineStr">
        <is>
          <t>verified</t>
        </is>
      </c>
      <c r="L101" s="4" t="n"/>
      <c r="M101" s="4" t="n"/>
      <c r="N101" s="4" t="inlineStr"/>
    </row>
    <row r="102">
      <c r="A102" s="4" t="inlineStr">
        <is>
          <t>F5</t>
        </is>
      </c>
      <c r="B102" s="4" t="inlineStr">
        <is>
          <t>Cap on that compensation</t>
        </is>
      </c>
      <c r="C102" s="5" t="n">
        <v>25000</v>
      </c>
      <c r="D102" s="4" t="inlineStr">
        <is>
          <t>INR</t>
        </is>
      </c>
      <c r="E102" s="4" t="inlineStr">
        <is>
          <t>from 1 Jan 2027</t>
        </is>
      </c>
      <c r="F102" s="4" t="inlineStr">
        <is>
          <t>RBI directions, 24 Jun 2026 (via Lexology)</t>
        </is>
      </c>
      <c r="G102" s="4" t="inlineStr">
        <is>
          <t>https://www.lexology.com/library/detail.aspx?g=07edd0d8-9eed-4245-9cb1-10befde4e608</t>
        </is>
      </c>
      <c r="H102" s="4" t="inlineStr">
        <is>
          <t>2026-06-24</t>
        </is>
      </c>
      <c r="I102" s="4" t="inlineStr">
        <is>
          <t>regulator via law firm</t>
        </is>
      </c>
      <c r="J102" s="4" t="inlineStr">
        <is>
          <t>M</t>
        </is>
      </c>
      <c r="K102" s="4" t="inlineStr">
        <is>
          <t>verified</t>
        </is>
      </c>
      <c r="L102" s="4" t="n"/>
      <c r="M102" s="4" t="n"/>
      <c r="N102" s="4" t="inlineStr"/>
    </row>
    <row r="103">
      <c r="A103" s="4" t="inlineStr">
        <is>
          <t>F6</t>
        </is>
      </c>
      <c r="B103" s="4" t="inlineStr">
        <is>
          <t>Share of RBI-regulated entities using or building AI</t>
        </is>
      </c>
      <c r="C103" s="5" t="n">
        <v>0.208</v>
      </c>
      <c r="D103" s="4" t="inlineStr">
        <is>
          <t>share</t>
        </is>
      </c>
      <c r="E103" s="4" t="inlineStr">
        <is>
          <t>survey Feb-May 2025</t>
        </is>
      </c>
      <c r="F103" s="4" t="inlineStr">
        <is>
          <t>RBI FREE-AI committee report, 13 Aug 2025</t>
        </is>
      </c>
      <c r="G103" s="4" t="inlineStr">
        <is>
          <t>https://www.rbi.org.in/Scripts/PublicationReportDetails.aspx?UrlPage=&amp;ID=1306</t>
        </is>
      </c>
      <c r="H103" s="4" t="inlineStr">
        <is>
          <t>2025-08-13</t>
        </is>
      </c>
      <c r="I103" s="4" t="inlineStr">
        <is>
          <t>regulator</t>
        </is>
      </c>
      <c r="J103" s="4" t="inlineStr">
        <is>
          <t>H</t>
        </is>
      </c>
      <c r="K103" s="4" t="inlineStr">
        <is>
          <t>verified</t>
        </is>
      </c>
      <c r="L103" s="4" t="n"/>
      <c r="M103" s="4" t="n"/>
      <c r="N103" s="4" t="inlineStr">
        <is>
          <t>127 of 612 entities.</t>
        </is>
      </c>
    </row>
    <row r="104">
      <c r="A104" s="4" t="inlineStr">
        <is>
          <t>F7</t>
        </is>
      </c>
      <c r="B104" s="4" t="inlineStr">
        <is>
          <t>Account Aggregator: cumulative consents fulfilled</t>
        </is>
      </c>
      <c r="C104" s="5" t="n">
        <v>538.3200000000001</v>
      </c>
      <c r="D104" s="4" t="inlineStr">
        <is>
          <t>million</t>
        </is>
      </c>
      <c r="E104" s="4" t="inlineStr">
        <is>
          <t>Jul 2026</t>
        </is>
      </c>
      <c r="F104" s="4" t="inlineStr">
        <is>
          <t>Sahamati ecosystem dashboard</t>
        </is>
      </c>
      <c r="G104" s="4" t="inlineStr">
        <is>
          <t>https://sahamati.org.in/aa-dashboard/</t>
        </is>
      </c>
      <c r="H104" s="4" t="inlineStr">
        <is>
          <t>2026-07</t>
        </is>
      </c>
      <c r="I104" s="4" t="inlineStr">
        <is>
          <t>industry body</t>
        </is>
      </c>
      <c r="J104" s="4" t="inlineStr">
        <is>
          <t>M</t>
        </is>
      </c>
      <c r="K104" s="4" t="inlineStr">
        <is>
          <t>verified</t>
        </is>
      </c>
      <c r="L104" s="4" t="n"/>
      <c r="M104" s="4" t="n"/>
      <c r="N104" s="4" t="inlineStr">
        <is>
          <t>A 493 mn reading circulated from the Sahamati home page; the dashboard figure is used here. Confirm before quoting.</t>
        </is>
      </c>
    </row>
    <row r="105">
      <c r="A105" s="4" t="inlineStr">
        <is>
          <t>F8</t>
        </is>
      </c>
      <c r="B105" s="4" t="inlineStr">
        <is>
          <t>Account Aggregator: data providers (FIPs)</t>
        </is>
      </c>
      <c r="C105" s="5" t="n">
        <v>176</v>
      </c>
      <c r="D105" s="4" t="inlineStr">
        <is>
          <t>count</t>
        </is>
      </c>
      <c r="E105" s="4" t="inlineStr">
        <is>
          <t>2026</t>
        </is>
      </c>
      <c r="F105" s="4" t="inlineStr">
        <is>
          <t>Sahamati</t>
        </is>
      </c>
      <c r="G105" s="4" t="inlineStr">
        <is>
          <t>https://sahamati.org.in/</t>
        </is>
      </c>
      <c r="H105" s="4" t="inlineStr">
        <is>
          <t>2026</t>
        </is>
      </c>
      <c r="I105" s="4" t="inlineStr">
        <is>
          <t>industry body</t>
        </is>
      </c>
      <c r="J105" s="4" t="inlineStr">
        <is>
          <t>M</t>
        </is>
      </c>
      <c r="K105" s="4" t="inlineStr">
        <is>
          <t>verified</t>
        </is>
      </c>
      <c r="L105" s="4" t="n"/>
      <c r="M105" s="4" t="n"/>
      <c r="N105" s="4" t="inlineStr"/>
    </row>
    <row r="106">
      <c r="A106" s="4" t="inlineStr">
        <is>
          <t>F9</t>
        </is>
      </c>
      <c r="B106" s="4" t="inlineStr">
        <is>
          <t>Account Aggregator: data users (FIUs)</t>
        </is>
      </c>
      <c r="C106" s="5" t="n">
        <v>1076</v>
      </c>
      <c r="D106" s="4" t="inlineStr">
        <is>
          <t>count</t>
        </is>
      </c>
      <c r="E106" s="4" t="inlineStr">
        <is>
          <t>2026</t>
        </is>
      </c>
      <c r="F106" s="4" t="inlineStr">
        <is>
          <t>Sahamati</t>
        </is>
      </c>
      <c r="G106" s="4" t="inlineStr">
        <is>
          <t>https://sahamati.org.in/</t>
        </is>
      </c>
      <c r="H106" s="4" t="inlineStr">
        <is>
          <t>2026</t>
        </is>
      </c>
      <c r="I106" s="4" t="inlineStr">
        <is>
          <t>industry body</t>
        </is>
      </c>
      <c r="J106" s="4" t="inlineStr">
        <is>
          <t>M</t>
        </is>
      </c>
      <c r="K106" s="4" t="inlineStr">
        <is>
          <t>verified</t>
        </is>
      </c>
      <c r="L106" s="4" t="n"/>
      <c r="M106" s="4" t="n"/>
      <c r="N106" s="4" t="inlineStr"/>
    </row>
    <row r="107">
      <c r="A107" s="4" t="inlineStr">
        <is>
          <t>F10</t>
        </is>
      </c>
      <c r="B107" s="4" t="inlineStr">
        <is>
          <t>Credgenics revenue, FY25</t>
        </is>
      </c>
      <c r="C107" s="5" t="n">
        <v>226</v>
      </c>
      <c r="D107" s="4" t="inlineStr">
        <is>
          <t>INR crore</t>
        </is>
      </c>
      <c r="E107" s="4" t="inlineStr">
        <is>
          <t>FY25</t>
        </is>
      </c>
      <c r="F107" s="4" t="inlineStr">
        <is>
          <t>Inc42 company page</t>
        </is>
      </c>
      <c r="G107" s="4" t="inlineStr">
        <is>
          <t>https://inc42.com/company/credgenics/</t>
        </is>
      </c>
      <c r="H107" s="4" t="inlineStr">
        <is>
          <t>2026</t>
        </is>
      </c>
      <c r="I107" s="4" t="inlineStr">
        <is>
          <t>filing via secondary</t>
        </is>
      </c>
      <c r="J107" s="4" t="inlineStr">
        <is>
          <t>M</t>
        </is>
      </c>
      <c r="K107" s="4" t="inlineStr">
        <is>
          <t>verified</t>
        </is>
      </c>
      <c r="L107" s="4" t="n"/>
      <c r="M107" s="4" t="n"/>
      <c r="N107" s="4" t="inlineStr">
        <is>
          <t>Up 41%.</t>
        </is>
      </c>
    </row>
    <row r="108">
      <c r="A108" s="4" t="inlineStr">
        <is>
          <t>F11</t>
        </is>
      </c>
      <c r="B108" s="4" t="inlineStr">
        <is>
          <t>Regulated entities that matter as buyers</t>
        </is>
      </c>
      <c r="C108" s="6" t="n">
        <v>200</v>
      </c>
      <c r="D108" s="4" t="inlineStr">
        <is>
          <t>count</t>
        </is>
      </c>
      <c r="E108" s="4" t="inlineStr">
        <is>
          <t>2026</t>
        </is>
      </c>
      <c r="F108" s="4" t="inlineStr">
        <is>
          <t>Assumption</t>
        </is>
      </c>
      <c r="G108" s="4" t="inlineStr"/>
      <c r="H108" s="4" t="inlineStr"/>
      <c r="I108" s="4" t="inlineStr">
        <is>
          <t>assumption</t>
        </is>
      </c>
      <c r="J108" s="4" t="inlineStr">
        <is>
          <t>L</t>
        </is>
      </c>
      <c r="K108" s="7" t="inlineStr">
        <is>
          <t>assumption</t>
        </is>
      </c>
      <c r="L108" s="6" t="n">
        <v>150</v>
      </c>
      <c r="M108" s="6" t="n">
        <v>250</v>
      </c>
      <c r="N108" s="4" t="inlineStr"/>
    </row>
    <row r="109">
      <c r="A109" s="4" t="inlineStr">
        <is>
          <t>F12</t>
        </is>
      </c>
      <c r="B109" s="4" t="inlineStr">
        <is>
          <t>Threshold: net revenue retention</t>
        </is>
      </c>
      <c r="C109" s="5" t="n">
        <v>1.2</v>
      </c>
      <c r="D109" s="4" t="inlineStr">
        <is>
          <t>x</t>
        </is>
      </c>
      <c r="E109" s="4" t="inlineStr">
        <is>
          <t>test</t>
        </is>
      </c>
      <c r="F109" s="4" t="inlineStr">
        <is>
          <t>Author's test</t>
        </is>
      </c>
      <c r="G109" s="4" t="inlineStr"/>
      <c r="H109" s="4" t="inlineStr"/>
      <c r="I109" s="4" t="inlineStr">
        <is>
          <t>scenario</t>
        </is>
      </c>
      <c r="J109" s="4" t="inlineStr">
        <is>
          <t>n/a</t>
        </is>
      </c>
      <c r="K109" s="4" t="inlineStr">
        <is>
          <t>scenario</t>
        </is>
      </c>
      <c r="L109" s="4" t="n"/>
      <c r="M109" s="4" t="n"/>
      <c r="N109" s="4" t="inlineStr"/>
    </row>
    <row r="110">
      <c r="A110" s="4" t="inlineStr">
        <is>
          <t>F13</t>
        </is>
      </c>
      <c r="B110" s="4" t="inlineStr">
        <is>
          <t>Threshold: top five customers' share of revenue</t>
        </is>
      </c>
      <c r="C110" s="5" t="n">
        <v>0.5</v>
      </c>
      <c r="D110" s="4" t="inlineStr">
        <is>
          <t>share</t>
        </is>
      </c>
      <c r="E110" s="4" t="inlineStr">
        <is>
          <t>test</t>
        </is>
      </c>
      <c r="F110" s="4" t="inlineStr">
        <is>
          <t>Author's test</t>
        </is>
      </c>
      <c r="G110" s="4" t="inlineStr"/>
      <c r="H110" s="4" t="inlineStr"/>
      <c r="I110" s="4" t="inlineStr">
        <is>
          <t>scenario</t>
        </is>
      </c>
      <c r="J110" s="4" t="inlineStr">
        <is>
          <t>n/a</t>
        </is>
      </c>
      <c r="K110" s="4" t="inlineStr">
        <is>
          <t>scenario</t>
        </is>
      </c>
      <c r="L110" s="4" t="n"/>
      <c r="M110" s="4" t="n"/>
      <c r="N110" s="4" t="inlineStr"/>
    </row>
    <row r="111">
      <c r="A111" s="4" t="inlineStr">
        <is>
          <t>A1</t>
        </is>
      </c>
      <c r="B111" s="4" t="inlineStr">
        <is>
          <t>Contact-centre voice agent cost to company per month, India</t>
        </is>
      </c>
      <c r="C111" s="6" t="n">
        <v>35000</v>
      </c>
      <c r="D111" s="4" t="inlineStr">
        <is>
          <t>INR per month</t>
        </is>
      </c>
      <c r="E111" s="4" t="inlineStr">
        <is>
          <t>2026</t>
        </is>
      </c>
      <c r="F111" s="4" t="inlineStr">
        <is>
          <t>Assumption; Teamlease or Nasscom wage data are the check</t>
        </is>
      </c>
      <c r="G111" s="4" t="inlineStr"/>
      <c r="H111" s="4" t="inlineStr"/>
      <c r="I111" s="4" t="inlineStr">
        <is>
          <t>assumption</t>
        </is>
      </c>
      <c r="J111" s="4" t="inlineStr">
        <is>
          <t>L</t>
        </is>
      </c>
      <c r="K111" s="7" t="inlineStr">
        <is>
          <t>assumption</t>
        </is>
      </c>
      <c r="L111" s="6" t="n">
        <v>25000</v>
      </c>
      <c r="M111" s="6" t="n">
        <v>45000</v>
      </c>
      <c r="N111" s="4" t="inlineStr"/>
    </row>
    <row r="112">
      <c r="A112" s="4" t="inlineStr">
        <is>
          <t>A2</t>
        </is>
      </c>
      <c r="B112" s="4" t="inlineStr">
        <is>
          <t>Calls handled per agent per working day</t>
        </is>
      </c>
      <c r="C112" s="6" t="n">
        <v>115</v>
      </c>
      <c r="D112" s="4" t="inlineStr">
        <is>
          <t>calls per day</t>
        </is>
      </c>
      <c r="E112" s="4" t="inlineStr">
        <is>
          <t>2026</t>
        </is>
      </c>
      <c r="F112" s="4" t="inlineStr">
        <is>
          <t>Assumption</t>
        </is>
      </c>
      <c r="G112" s="4" t="inlineStr"/>
      <c r="H112" s="4" t="inlineStr"/>
      <c r="I112" s="4" t="inlineStr">
        <is>
          <t>assumption</t>
        </is>
      </c>
      <c r="J112" s="4" t="inlineStr">
        <is>
          <t>L</t>
        </is>
      </c>
      <c r="K112" s="7" t="inlineStr">
        <is>
          <t>assumption</t>
        </is>
      </c>
      <c r="L112" s="6" t="n">
        <v>80</v>
      </c>
      <c r="M112" s="6" t="n">
        <v>150</v>
      </c>
      <c r="N112" s="4" t="inlineStr"/>
    </row>
    <row r="113">
      <c r="A113" s="4" t="inlineStr">
        <is>
          <t>A3</t>
        </is>
      </c>
      <c r="B113" s="4" t="inlineStr">
        <is>
          <t>Working days per month</t>
        </is>
      </c>
      <c r="C113" s="5" t="n">
        <v>22</v>
      </c>
      <c r="D113" s="4" t="inlineStr">
        <is>
          <t>days</t>
        </is>
      </c>
      <c r="E113" s="4" t="inlineStr">
        <is>
          <t>scenario</t>
        </is>
      </c>
      <c r="F113" s="4" t="inlineStr">
        <is>
          <t>Convention</t>
        </is>
      </c>
      <c r="G113" s="4" t="inlineStr"/>
      <c r="H113" s="4" t="inlineStr"/>
      <c r="I113" s="4" t="inlineStr">
        <is>
          <t>scenario</t>
        </is>
      </c>
      <c r="J113" s="4" t="inlineStr">
        <is>
          <t>n/a</t>
        </is>
      </c>
      <c r="K113" s="4" t="inlineStr">
        <is>
          <t>scenario</t>
        </is>
      </c>
      <c r="L113" s="4" t="n"/>
      <c r="M113" s="4" t="n"/>
      <c r="N113" s="4" t="inlineStr"/>
    </row>
    <row r="114">
      <c r="A114" s="4" t="inlineStr">
        <is>
          <t>A4</t>
        </is>
      </c>
      <c r="B114" s="4" t="inlineStr">
        <is>
          <t>Effective price per million tokens paid by businesses, early Sep 2026</t>
        </is>
      </c>
      <c r="C114" s="5" t="n">
        <v>0.68</v>
      </c>
      <c r="D114" s="4" t="inlineStr">
        <is>
          <t>USD per million tokens</t>
        </is>
      </c>
      <c r="E114" s="4" t="inlineStr">
        <is>
          <t>Sep 2026</t>
        </is>
      </c>
      <c r="F114" s="4" t="inlineStr">
        <is>
          <t>Ramp AI Index, Sept 2026</t>
        </is>
      </c>
      <c r="G114" s="4" t="inlineStr">
        <is>
          <t>https://ramp.com/data/ai-index-sept-2026</t>
        </is>
      </c>
      <c r="H114" s="4" t="inlineStr">
        <is>
          <t>2026-09-09</t>
        </is>
      </c>
      <c r="I114" s="4" t="inlineStr">
        <is>
          <t>measured</t>
        </is>
      </c>
      <c r="J114" s="4" t="inlineStr">
        <is>
          <t>M</t>
        </is>
      </c>
      <c r="K114" s="4" t="inlineStr">
        <is>
          <t>verified</t>
        </is>
      </c>
      <c r="L114" s="4" t="n"/>
      <c r="M114" s="4" t="n"/>
      <c r="N114" s="4" t="inlineStr">
        <is>
          <t>Mar 2026 peak 1.15.</t>
        </is>
      </c>
    </row>
    <row r="115">
      <c r="A115" s="4" t="inlineStr">
        <is>
          <t>A5</t>
        </is>
      </c>
      <c r="B115" s="4" t="inlineStr">
        <is>
          <t>Tokens used per customer call</t>
        </is>
      </c>
      <c r="C115" s="6" t="n">
        <v>4000</v>
      </c>
      <c r="D115" s="4" t="inlineStr">
        <is>
          <t>tokens</t>
        </is>
      </c>
      <c r="E115" s="4" t="inlineStr">
        <is>
          <t>2026</t>
        </is>
      </c>
      <c r="F115" s="4" t="inlineStr">
        <is>
          <t>Assumption</t>
        </is>
      </c>
      <c r="G115" s="4" t="inlineStr"/>
      <c r="H115" s="4" t="inlineStr"/>
      <c r="I115" s="4" t="inlineStr">
        <is>
          <t>assumption</t>
        </is>
      </c>
      <c r="J115" s="4" t="inlineStr">
        <is>
          <t>L</t>
        </is>
      </c>
      <c r="K115" s="7" t="inlineStr">
        <is>
          <t>assumption</t>
        </is>
      </c>
      <c r="L115" s="6" t="n">
        <v>2000</v>
      </c>
      <c r="M115" s="6" t="n">
        <v>6000</v>
      </c>
      <c r="N115" s="4" t="inlineStr"/>
    </row>
    <row r="116">
      <c r="A116" s="4" t="inlineStr">
        <is>
          <t>A6</t>
        </is>
      </c>
      <c r="B116" s="4" t="inlineStr">
        <is>
          <t>Telephony and speech cost per call</t>
        </is>
      </c>
      <c r="C116" s="6" t="n">
        <v>2.5</v>
      </c>
      <c r="D116" s="4" t="inlineStr">
        <is>
          <t>INR per call</t>
        </is>
      </c>
      <c r="E116" s="4" t="inlineStr">
        <is>
          <t>2026</t>
        </is>
      </c>
      <c r="F116" s="4" t="inlineStr">
        <is>
          <t>Assumption; CPaaS and speech-to-text price lists are the check</t>
        </is>
      </c>
      <c r="G116" s="4" t="inlineStr"/>
      <c r="H116" s="4" t="inlineStr"/>
      <c r="I116" s="4" t="inlineStr">
        <is>
          <t>assumption</t>
        </is>
      </c>
      <c r="J116" s="4" t="inlineStr">
        <is>
          <t>L</t>
        </is>
      </c>
      <c r="K116" s="7" t="inlineStr">
        <is>
          <t>assumption</t>
        </is>
      </c>
      <c r="L116" s="6" t="n">
        <v>1</v>
      </c>
      <c r="M116" s="6" t="n">
        <v>4</v>
      </c>
      <c r="N116" s="4" t="inlineStr"/>
    </row>
    <row r="117">
      <c r="A117" s="4" t="inlineStr">
        <is>
          <t>A7</t>
        </is>
      </c>
      <c r="B117" s="4" t="inlineStr">
        <is>
          <t>USD to INR</t>
        </is>
      </c>
      <c r="C117" s="6" t="n">
        <v>87</v>
      </c>
      <c r="D117" s="4" t="inlineStr">
        <is>
          <t>INR per USD</t>
        </is>
      </c>
      <c r="E117" s="4" t="inlineStr">
        <is>
          <t>Oct 2026</t>
        </is>
      </c>
      <c r="F117" s="4" t="inlineStr">
        <is>
          <t>Assumption; replace with RBI reference rate on build day</t>
        </is>
      </c>
      <c r="G117" s="4" t="inlineStr"/>
      <c r="H117" s="4" t="inlineStr"/>
      <c r="I117" s="4" t="inlineStr">
        <is>
          <t>assumption</t>
        </is>
      </c>
      <c r="J117" s="4" t="inlineStr">
        <is>
          <t>M</t>
        </is>
      </c>
      <c r="K117" s="7" t="inlineStr">
        <is>
          <t>assumption</t>
        </is>
      </c>
      <c r="L117" s="6" t="n">
        <v>85</v>
      </c>
      <c r="M117" s="6" t="n">
        <v>90</v>
      </c>
      <c r="N117" s="4" t="inlineStr"/>
    </row>
    <row r="118">
      <c r="A118" s="4" t="inlineStr">
        <is>
          <t>A8</t>
        </is>
      </c>
      <c r="B118" s="4" t="inlineStr">
        <is>
          <t>Price per resolved call charged by an Indian voice AI vendor</t>
        </is>
      </c>
      <c r="C118" s="6" t="n">
        <v>15</v>
      </c>
      <c r="D118" s="4" t="inlineStr">
        <is>
          <t>INR per resolved call</t>
        </is>
      </c>
      <c r="E118" s="4" t="inlineStr">
        <is>
          <t>2026</t>
        </is>
      </c>
      <c r="F118" s="4" t="inlineStr">
        <is>
          <t>Assumption</t>
        </is>
      </c>
      <c r="G118" s="4" t="inlineStr"/>
      <c r="H118" s="4" t="inlineStr"/>
      <c r="I118" s="4" t="inlineStr">
        <is>
          <t>assumption</t>
        </is>
      </c>
      <c r="J118" s="4" t="inlineStr">
        <is>
          <t>L</t>
        </is>
      </c>
      <c r="K118" s="7" t="inlineStr">
        <is>
          <t>assumption</t>
        </is>
      </c>
      <c r="L118" s="6" t="n">
        <v>10</v>
      </c>
      <c r="M118" s="6" t="n">
        <v>20</v>
      </c>
      <c r="N118" s="4" t="inlineStr"/>
    </row>
    <row r="119">
      <c r="A119" s="4" t="inlineStr">
        <is>
          <t>A9</t>
        </is>
      </c>
      <c r="B119" s="4" t="inlineStr">
        <is>
          <t>Intercom Fin price per resolution</t>
        </is>
      </c>
      <c r="C119" s="5" t="n">
        <v>0.99</v>
      </c>
      <c r="D119" s="4" t="inlineStr">
        <is>
          <t>USD per resolution</t>
        </is>
      </c>
      <c r="E119" s="4" t="inlineStr">
        <is>
          <t>Oct 2026</t>
        </is>
      </c>
      <c r="F119" s="4" t="inlineStr">
        <is>
          <t>Intercom pricing page</t>
        </is>
      </c>
      <c r="G119" s="4" t="inlineStr">
        <is>
          <t>https://fin.ai/pricing</t>
        </is>
      </c>
      <c r="H119" s="4" t="inlineStr">
        <is>
          <t>2026-10</t>
        </is>
      </c>
      <c r="I119" s="4" t="inlineStr">
        <is>
          <t>vendor price list</t>
        </is>
      </c>
      <c r="J119" s="4" t="inlineStr">
        <is>
          <t>H</t>
        </is>
      </c>
      <c r="K119" s="4" t="inlineStr">
        <is>
          <t>verified</t>
        </is>
      </c>
      <c r="L119" s="4" t="n"/>
      <c r="M119" s="4" t="n"/>
      <c r="N119" s="4" t="inlineStr"/>
    </row>
    <row r="120">
      <c r="A120" s="4" t="inlineStr">
        <is>
          <t>A10</t>
        </is>
      </c>
      <c r="B120" s="4" t="inlineStr">
        <is>
          <t>Salesforce Agentforce price per conversation</t>
        </is>
      </c>
      <c r="C120" s="5" t="n">
        <v>2</v>
      </c>
      <c r="D120" s="4" t="inlineStr">
        <is>
          <t>USD per conversation</t>
        </is>
      </c>
      <c r="E120" s="4" t="inlineStr">
        <is>
          <t>Oct 2026</t>
        </is>
      </c>
      <c r="F120" s="4" t="inlineStr">
        <is>
          <t>Salesforce pricing page</t>
        </is>
      </c>
      <c r="G120" s="4" t="inlineStr">
        <is>
          <t>https://www.salesforce.com/agentforce/pricing/</t>
        </is>
      </c>
      <c r="H120" s="4" t="inlineStr">
        <is>
          <t>2026-10</t>
        </is>
      </c>
      <c r="I120" s="4" t="inlineStr">
        <is>
          <t>vendor price list</t>
        </is>
      </c>
      <c r="J120" s="4" t="inlineStr">
        <is>
          <t>H</t>
        </is>
      </c>
      <c r="K120" s="4" t="inlineStr">
        <is>
          <t>verified</t>
        </is>
      </c>
      <c r="L120" s="4" t="n"/>
      <c r="M120" s="4" t="n"/>
      <c r="N120" s="4" t="inlineStr"/>
    </row>
    <row r="121">
      <c r="A121" s="4" t="inlineStr">
        <is>
          <t>A11</t>
        </is>
      </c>
      <c r="B121" s="4" t="inlineStr">
        <is>
          <t>Salesforce Agentforce price per action (Flex Credits)</t>
        </is>
      </c>
      <c r="C121" s="5" t="n">
        <v>0.1</v>
      </c>
      <c r="D121" s="4" t="inlineStr">
        <is>
          <t>USD per action</t>
        </is>
      </c>
      <c r="E121" s="4" t="inlineStr">
        <is>
          <t>Oct 2026</t>
        </is>
      </c>
      <c r="F121" s="4" t="inlineStr">
        <is>
          <t>Salesforce pricing page</t>
        </is>
      </c>
      <c r="G121" s="4" t="inlineStr">
        <is>
          <t>https://www.salesforce.com/agentforce/pricing/</t>
        </is>
      </c>
      <c r="H121" s="4" t="inlineStr">
        <is>
          <t>2026-10</t>
        </is>
      </c>
      <c r="I121" s="4" t="inlineStr">
        <is>
          <t>vendor price list</t>
        </is>
      </c>
      <c r="J121" s="4" t="inlineStr">
        <is>
          <t>H</t>
        </is>
      </c>
      <c r="K121" s="4" t="inlineStr">
        <is>
          <t>verified</t>
        </is>
      </c>
      <c r="L121" s="4" t="n"/>
      <c r="M121" s="4" t="n"/>
      <c r="N121" s="4" t="inlineStr"/>
    </row>
    <row r="122">
      <c r="A122" s="4" t="inlineStr">
        <is>
          <t>A12</t>
        </is>
      </c>
      <c r="B122" s="4" t="inlineStr">
        <is>
          <t>Sierra price per resolution (estimate, not published)</t>
        </is>
      </c>
      <c r="C122" s="6" t="n">
        <v>1.5</v>
      </c>
      <c r="D122" s="4" t="inlineStr">
        <is>
          <t>USD per resolution</t>
        </is>
      </c>
      <c r="E122" s="4" t="inlineStr">
        <is>
          <t>2026</t>
        </is>
      </c>
      <c r="F122" s="4" t="inlineStr">
        <is>
          <t>Estimate reported in press; Sierra does not publish</t>
        </is>
      </c>
      <c r="G122" s="4" t="inlineStr"/>
      <c r="H122" s="4" t="inlineStr">
        <is>
          <t>2026</t>
        </is>
      </c>
      <c r="I122" s="4" t="inlineStr">
        <is>
          <t>estimate</t>
        </is>
      </c>
      <c r="J122" s="4" t="inlineStr">
        <is>
          <t>L</t>
        </is>
      </c>
      <c r="K122" s="7" t="inlineStr">
        <is>
          <t>assumption</t>
        </is>
      </c>
      <c r="L122" s="6" t="n">
        <v>1</v>
      </c>
      <c r="M122" s="6" t="n">
        <v>2</v>
      </c>
      <c r="N122" s="4" t="inlineStr"/>
    </row>
    <row r="123">
      <c r="A123" s="4" t="inlineStr">
        <is>
          <t>A13</t>
        </is>
      </c>
      <c r="B123" s="4" t="inlineStr">
        <is>
          <t>AgentCollect fee as a share of amounts recovered (midpoint)</t>
        </is>
      </c>
      <c r="C123" s="6" t="n">
        <v>0.1</v>
      </c>
      <c r="D123" s="4" t="inlineStr">
        <is>
          <t>share of recoveries</t>
        </is>
      </c>
      <c r="E123" s="4" t="inlineStr">
        <is>
          <t>2026</t>
        </is>
      </c>
      <c r="F123" s="4" t="inlineStr">
        <is>
          <t>Company page</t>
        </is>
      </c>
      <c r="G123" s="4" t="inlineStr"/>
      <c r="H123" s="4" t="inlineStr">
        <is>
          <t>2026</t>
        </is>
      </c>
      <c r="I123" s="4" t="inlineStr">
        <is>
          <t>vendor</t>
        </is>
      </c>
      <c r="J123" s="4" t="inlineStr">
        <is>
          <t>M</t>
        </is>
      </c>
      <c r="K123" s="7" t="inlineStr">
        <is>
          <t>assumption</t>
        </is>
      </c>
      <c r="L123" s="6" t="n">
        <v>0.05</v>
      </c>
      <c r="M123" s="6" t="n">
        <v>0.15</v>
      </c>
      <c r="N123" s="4" t="inlineStr"/>
    </row>
    <row r="124">
      <c r="A124" s="4" t="inlineStr">
        <is>
          <t>A14</t>
        </is>
      </c>
      <c r="B124" s="4" t="inlineStr">
        <is>
          <t>Stellaris: share of 216 voice AI companies that target existing spend</t>
        </is>
      </c>
      <c r="C124" s="5" t="n">
        <v>0.66</v>
      </c>
      <c r="D124" s="4" t="inlineStr">
        <is>
          <t>share of companies</t>
        </is>
      </c>
      <c r="E124" s="4" t="inlineStr">
        <is>
          <t>2026</t>
        </is>
      </c>
      <c r="F124" s="4" t="inlineStr">
        <is>
          <t>Stellaris Venture Partners, Voice AI thesis</t>
        </is>
      </c>
      <c r="G124" s="4" t="inlineStr">
        <is>
          <t>https://www.stellarisvp.com/blog/voice-ai-thesis-building-defensibility-against-the-giants</t>
        </is>
      </c>
      <c r="H124" s="4" t="inlineStr">
        <is>
          <t>2026</t>
        </is>
      </c>
      <c r="I124" s="4" t="inlineStr">
        <is>
          <t>vc_post</t>
        </is>
      </c>
      <c r="J124" s="4" t="inlineStr">
        <is>
          <t>M</t>
        </is>
      </c>
      <c r="K124" s="4" t="inlineStr">
        <is>
          <t>verified</t>
        </is>
      </c>
      <c r="L124" s="4" t="n"/>
      <c r="M124" s="4" t="n"/>
      <c r="N124" s="4" t="inlineStr">
        <is>
          <t>Companies targeting existing budgets, not deployments that replaced one.</t>
        </is>
      </c>
    </row>
    <row r="125">
      <c r="A125" s="4" t="inlineStr">
        <is>
          <t>A15</t>
        </is>
      </c>
      <c r="B125" s="4" t="inlineStr">
        <is>
          <t>Price per invoice processed by a finance agent</t>
        </is>
      </c>
      <c r="C125" s="6" t="n">
        <v>20</v>
      </c>
      <c r="D125" s="4" t="inlineStr">
        <is>
          <t>INR per invoice</t>
        </is>
      </c>
      <c r="E125" s="4" t="inlineStr">
        <is>
          <t>2026</t>
        </is>
      </c>
      <c r="F125" s="4" t="inlineStr">
        <is>
          <t>Assumption</t>
        </is>
      </c>
      <c r="G125" s="4" t="inlineStr"/>
      <c r="H125" s="4" t="inlineStr"/>
      <c r="I125" s="4" t="inlineStr">
        <is>
          <t>assumption</t>
        </is>
      </c>
      <c r="J125" s="4" t="inlineStr">
        <is>
          <t>L</t>
        </is>
      </c>
      <c r="K125" s="7" t="inlineStr">
        <is>
          <t>assumption</t>
        </is>
      </c>
      <c r="L125" s="6" t="n">
        <v>5</v>
      </c>
      <c r="M125" s="6" t="n">
        <v>50</v>
      </c>
      <c r="N125" s="4" t="inlineStr"/>
    </row>
    <row r="126">
      <c r="A126" s="4" t="inlineStr">
        <is>
          <t>A16</t>
        </is>
      </c>
      <c r="B126" s="4" t="inlineStr">
        <is>
          <t>Tokens per invoice processed</t>
        </is>
      </c>
      <c r="C126" s="6" t="n">
        <v>6000</v>
      </c>
      <c r="D126" s="4" t="inlineStr">
        <is>
          <t>tokens</t>
        </is>
      </c>
      <c r="E126" s="4" t="inlineStr">
        <is>
          <t>2026</t>
        </is>
      </c>
      <c r="F126" s="4" t="inlineStr">
        <is>
          <t>Assumption</t>
        </is>
      </c>
      <c r="G126" s="4" t="inlineStr"/>
      <c r="H126" s="4" t="inlineStr"/>
      <c r="I126" s="4" t="inlineStr">
        <is>
          <t>assumption</t>
        </is>
      </c>
      <c r="J126" s="4" t="inlineStr">
        <is>
          <t>L</t>
        </is>
      </c>
      <c r="K126" s="7" t="inlineStr">
        <is>
          <t>assumption</t>
        </is>
      </c>
      <c r="L126" s="6" t="n">
        <v>3000</v>
      </c>
      <c r="M126" s="6" t="n">
        <v>10000</v>
      </c>
      <c r="N126" s="4" t="inlineStr"/>
    </row>
    <row r="127">
      <c r="A127" s="4" t="inlineStr">
        <is>
          <t>A17</t>
        </is>
      </c>
      <c r="B127" s="4" t="inlineStr">
        <is>
          <t>ERP integration cost per enterprise customer</t>
        </is>
      </c>
      <c r="C127" s="6" t="n">
        <v>0.3</v>
      </c>
      <c r="D127" s="4" t="inlineStr">
        <is>
          <t>INR crore</t>
        </is>
      </c>
      <c r="E127" s="4" t="inlineStr">
        <is>
          <t>2026</t>
        </is>
      </c>
      <c r="F127" s="4" t="inlineStr">
        <is>
          <t>Assumption</t>
        </is>
      </c>
      <c r="G127" s="4" t="inlineStr"/>
      <c r="H127" s="4" t="inlineStr"/>
      <c r="I127" s="4" t="inlineStr">
        <is>
          <t>assumption</t>
        </is>
      </c>
      <c r="J127" s="4" t="inlineStr">
        <is>
          <t>L</t>
        </is>
      </c>
      <c r="K127" s="7" t="inlineStr">
        <is>
          <t>assumption</t>
        </is>
      </c>
      <c r="L127" s="6" t="n">
        <v>0.1</v>
      </c>
      <c r="M127" s="6" t="n">
        <v>0.5</v>
      </c>
      <c r="N127" s="4" t="inlineStr"/>
    </row>
    <row r="128">
      <c r="A128" s="4" t="inlineStr">
        <is>
          <t>A18</t>
        </is>
      </c>
      <c r="B128" s="4" t="inlineStr">
        <is>
          <t>First-year contract value, finance agent, one enterprise</t>
        </is>
      </c>
      <c r="C128" s="6" t="n">
        <v>1.5</v>
      </c>
      <c r="D128" s="4" t="inlineStr">
        <is>
          <t>INR crore</t>
        </is>
      </c>
      <c r="E128" s="4" t="inlineStr">
        <is>
          <t>2026</t>
        </is>
      </c>
      <c r="F128" s="4" t="inlineStr">
        <is>
          <t>Assumption</t>
        </is>
      </c>
      <c r="G128" s="4" t="inlineStr"/>
      <c r="H128" s="4" t="inlineStr"/>
      <c r="I128" s="4" t="inlineStr">
        <is>
          <t>assumption</t>
        </is>
      </c>
      <c r="J128" s="4" t="inlineStr">
        <is>
          <t>L</t>
        </is>
      </c>
      <c r="K128" s="7" t="inlineStr">
        <is>
          <t>assumption</t>
        </is>
      </c>
      <c r="L128" s="6" t="n">
        <v>0.5</v>
      </c>
      <c r="M128" s="6" t="n">
        <v>3</v>
      </c>
      <c r="N128" s="4" t="inlineStr"/>
    </row>
    <row r="129">
      <c r="A129" s="4" t="inlineStr">
        <is>
          <t>A19</t>
        </is>
      </c>
      <c r="B129" s="4" t="inlineStr">
        <is>
          <t>Threshold: integration cost as a share of first-year contract</t>
        </is>
      </c>
      <c r="C129" s="5" t="n">
        <v>0.2</v>
      </c>
      <c r="D129" s="4" t="inlineStr">
        <is>
          <t>share</t>
        </is>
      </c>
      <c r="E129" s="4" t="inlineStr">
        <is>
          <t>test</t>
        </is>
      </c>
      <c r="F129" s="4" t="inlineStr">
        <is>
          <t>Author's test</t>
        </is>
      </c>
      <c r="G129" s="4" t="inlineStr"/>
      <c r="H129" s="4" t="inlineStr"/>
      <c r="I129" s="4" t="inlineStr">
        <is>
          <t>scenario</t>
        </is>
      </c>
      <c r="J129" s="4" t="inlineStr">
        <is>
          <t>n/a</t>
        </is>
      </c>
      <c r="K129" s="4" t="inlineStr">
        <is>
          <t>scenario</t>
        </is>
      </c>
      <c r="L129" s="4" t="n"/>
      <c r="M129" s="4" t="n"/>
      <c r="N129" s="4" t="inlineStr"/>
    </row>
    <row r="130">
      <c r="A130" s="4" t="inlineStr">
        <is>
          <t>A20</t>
        </is>
      </c>
      <c r="B130" s="4" t="inlineStr">
        <is>
          <t>AI-native services gross margin</t>
        </is>
      </c>
      <c r="C130" s="6" t="n">
        <v>0.5</v>
      </c>
      <c r="D130" s="4" t="inlineStr">
        <is>
          <t>share of revenue</t>
        </is>
      </c>
      <c r="E130" s="4" t="inlineStr">
        <is>
          <t>2026</t>
        </is>
      </c>
      <c r="F130" s="4" t="inlineStr">
        <is>
          <t>Assumption; Bessemer (Aug 2026) warns these are not software margins</t>
        </is>
      </c>
      <c r="G130" s="4" t="inlineStr"/>
      <c r="H130" s="4" t="inlineStr"/>
      <c r="I130" s="4" t="inlineStr">
        <is>
          <t>assumption</t>
        </is>
      </c>
      <c r="J130" s="4" t="inlineStr">
        <is>
          <t>L</t>
        </is>
      </c>
      <c r="K130" s="7" t="inlineStr">
        <is>
          <t>assumption</t>
        </is>
      </c>
      <c r="L130" s="6" t="n">
        <v>0.4</v>
      </c>
      <c r="M130" s="6" t="n">
        <v>0.6</v>
      </c>
      <c r="N130" s="4" t="inlineStr"/>
    </row>
    <row r="131">
      <c r="A131" s="4" t="inlineStr">
        <is>
          <t>A21</t>
        </is>
      </c>
      <c r="B131" s="4" t="inlineStr">
        <is>
          <t>Services spend per dollar of software spend (US)</t>
        </is>
      </c>
      <c r="C131" s="5" t="n">
        <v>6</v>
      </c>
      <c r="D131" s="4" t="inlineStr">
        <is>
          <t>x</t>
        </is>
      </c>
      <c r="E131" s="4" t="inlineStr">
        <is>
          <t>2026</t>
        </is>
      </c>
      <c r="F131" s="4" t="inlineStr">
        <is>
          <t>Sequoia, Services: The New Software, 5 Mar 2026</t>
        </is>
      </c>
      <c r="G131" s="4" t="inlineStr">
        <is>
          <t>https://sequoiacap.com/article/services-the-new-software</t>
        </is>
      </c>
      <c r="H131" s="4" t="inlineStr">
        <is>
          <t>2026-03-05</t>
        </is>
      </c>
      <c r="I131" s="4" t="inlineStr">
        <is>
          <t>vc_post</t>
        </is>
      </c>
      <c r="J131" s="4" t="inlineStr">
        <is>
          <t>M</t>
        </is>
      </c>
      <c r="K131" s="4" t="inlineStr">
        <is>
          <t>verified</t>
        </is>
      </c>
      <c r="L131" s="4" t="n"/>
      <c r="M131" s="4" t="n"/>
      <c r="N131" s="4" t="inlineStr"/>
    </row>
    <row r="132">
      <c r="A132" s="4" t="inlineStr">
        <is>
          <t>A22</t>
        </is>
      </c>
      <c r="B132" s="4" t="inlineStr">
        <is>
          <t>Hang Ten Systems total seed funding</t>
        </is>
      </c>
      <c r="C132" s="5" t="n">
        <v>85</v>
      </c>
      <c r="D132" s="4" t="inlineStr">
        <is>
          <t>USD million</t>
        </is>
      </c>
      <c r="E132" s="4" t="inlineStr">
        <is>
          <t>Sep 2026</t>
        </is>
      </c>
      <c r="F132" s="4" t="inlineStr">
        <is>
          <t>Implicator</t>
        </is>
      </c>
      <c r="G132" s="4" t="inlineStr">
        <is>
          <t>https://www.implicator.ai/hang-ten-systems-raises-53-million-five-weeks-after-its-first-seed-round/</t>
        </is>
      </c>
      <c r="H132" s="4" t="inlineStr">
        <is>
          <t>2026-09-16</t>
        </is>
      </c>
      <c r="I132" s="4" t="inlineStr">
        <is>
          <t>secondary</t>
        </is>
      </c>
      <c r="J132" s="4" t="inlineStr">
        <is>
          <t>M</t>
        </is>
      </c>
      <c r="K132" s="4" t="inlineStr">
        <is>
          <t>verified</t>
        </is>
      </c>
      <c r="L132" s="4" t="n"/>
      <c r="M132" s="4" t="n"/>
      <c r="N132" s="4" t="inlineStr"/>
    </row>
    <row r="133">
      <c r="A133" s="4" t="inlineStr">
        <is>
          <t>A23</t>
        </is>
      </c>
      <c r="B133" s="4" t="inlineStr">
        <is>
          <t>Vertical AI price per site per month</t>
        </is>
      </c>
      <c r="C133" s="6" t="n">
        <v>8000</v>
      </c>
      <c r="D133" s="4" t="inlineStr">
        <is>
          <t>INR per site per month</t>
        </is>
      </c>
      <c r="E133" s="4" t="inlineStr">
        <is>
          <t>2026</t>
        </is>
      </c>
      <c r="F133" s="4" t="inlineStr">
        <is>
          <t>Assumption</t>
        </is>
      </c>
      <c r="G133" s="4" t="inlineStr"/>
      <c r="H133" s="4" t="inlineStr"/>
      <c r="I133" s="4" t="inlineStr">
        <is>
          <t>assumption</t>
        </is>
      </c>
      <c r="J133" s="4" t="inlineStr">
        <is>
          <t>L</t>
        </is>
      </c>
      <c r="K133" s="7" t="inlineStr">
        <is>
          <t>assumption</t>
        </is>
      </c>
      <c r="L133" s="6" t="n">
        <v>2000</v>
      </c>
      <c r="M133" s="6" t="n">
        <v>20000</v>
      </c>
      <c r="N133" s="4" t="inlineStr"/>
    </row>
    <row r="134">
      <c r="A134" s="4" t="inlineStr">
        <is>
          <t>A24</t>
        </is>
      </c>
      <c r="B134" s="4" t="inlineStr">
        <is>
          <t>Deployment cost per new site</t>
        </is>
      </c>
      <c r="C134" s="6" t="n">
        <v>20000</v>
      </c>
      <c r="D134" s="4" t="inlineStr">
        <is>
          <t>INR per site</t>
        </is>
      </c>
      <c r="E134" s="4" t="inlineStr">
        <is>
          <t>2026</t>
        </is>
      </c>
      <c r="F134" s="4" t="inlineStr">
        <is>
          <t>Assumption</t>
        </is>
      </c>
      <c r="G134" s="4" t="inlineStr"/>
      <c r="H134" s="4" t="inlineStr"/>
      <c r="I134" s="4" t="inlineStr">
        <is>
          <t>assumption</t>
        </is>
      </c>
      <c r="J134" s="4" t="inlineStr">
        <is>
          <t>L</t>
        </is>
      </c>
      <c r="K134" s="7" t="inlineStr">
        <is>
          <t>assumption</t>
        </is>
      </c>
      <c r="L134" s="6" t="n">
        <v>5000</v>
      </c>
      <c r="M134" s="6" t="n">
        <v>50000</v>
      </c>
      <c r="N134" s="4" t="inlineStr"/>
    </row>
    <row r="135">
      <c r="A135" s="4" t="inlineStr">
        <is>
          <t>A25</t>
        </is>
      </c>
      <c r="B135" s="4" t="inlineStr">
        <is>
          <t>Databricks smart routing cost saving vs best single model (vendor benchmark, coding tasks)</t>
        </is>
      </c>
      <c r="C135" s="5" t="n">
        <v>0.35</v>
      </c>
      <c r="D135" s="4" t="inlineStr">
        <is>
          <t>share saved</t>
        </is>
      </c>
      <c r="E135" s="4" t="inlineStr">
        <is>
          <t>Aug 2026</t>
        </is>
      </c>
      <c r="F135" s="4" t="inlineStr">
        <is>
          <t>Databricks blog</t>
        </is>
      </c>
      <c r="G135" s="4" t="inlineStr">
        <is>
          <t>https://www.databricks.com/blog/smart-routing-unity-ai-gateway-match-frontier-quality-fraction-cost</t>
        </is>
      </c>
      <c r="H135" s="4" t="inlineStr">
        <is>
          <t>2026-08-13</t>
        </is>
      </c>
      <c r="I135" s="4" t="inlineStr">
        <is>
          <t>vendor</t>
        </is>
      </c>
      <c r="J135" s="4" t="inlineStr">
        <is>
          <t>M</t>
        </is>
      </c>
      <c r="K135" s="4" t="inlineStr">
        <is>
          <t>verified</t>
        </is>
      </c>
      <c r="L135" s="4" t="n"/>
      <c r="M135" s="4" t="n"/>
      <c r="N135" s="4" t="inlineStr"/>
    </row>
    <row r="136">
      <c r="A136" s="4" t="inlineStr">
        <is>
          <t>A26</t>
        </is>
      </c>
      <c r="B136" s="4" t="inlineStr">
        <is>
          <t>Security and audit tool annual subscription per regulated buyer</t>
        </is>
      </c>
      <c r="C136" s="6" t="n">
        <v>1</v>
      </c>
      <c r="D136" s="4" t="inlineStr">
        <is>
          <t>INR crore</t>
        </is>
      </c>
      <c r="E136" s="4" t="inlineStr">
        <is>
          <t>2026</t>
        </is>
      </c>
      <c r="F136" s="4" t="inlineStr">
        <is>
          <t>Assumption</t>
        </is>
      </c>
      <c r="G136" s="4" t="inlineStr"/>
      <c r="H136" s="4" t="inlineStr"/>
      <c r="I136" s="4" t="inlineStr">
        <is>
          <t>assumption</t>
        </is>
      </c>
      <c r="J136" s="4" t="inlineStr">
        <is>
          <t>L</t>
        </is>
      </c>
      <c r="K136" s="7" t="inlineStr">
        <is>
          <t>assumption</t>
        </is>
      </c>
      <c r="L136" s="6" t="n">
        <v>0.2</v>
      </c>
      <c r="M136" s="6" t="n">
        <v>2</v>
      </c>
      <c r="N136" s="4" t="inlineStr"/>
    </row>
    <row r="137">
      <c r="A137" s="4" t="inlineStr">
        <is>
          <t>A27</t>
        </is>
      </c>
      <c r="B137" s="4" t="inlineStr">
        <is>
          <t>US households paying for an AI subscription</t>
        </is>
      </c>
      <c r="C137" s="5" t="n">
        <v>0.022</v>
      </c>
      <c r="D137" s="4" t="inlineStr">
        <is>
          <t>share</t>
        </is>
      </c>
      <c r="E137" s="4" t="inlineStr">
        <is>
          <t>Apr 2026</t>
        </is>
      </c>
      <c r="F137" s="4" t="inlineStr">
        <is>
          <t>a16z State of Markets II, 30 Sep 2026 (chart)</t>
        </is>
      </c>
      <c r="G137" s="4" t="inlineStr">
        <is>
          <t>https://www.a16z.news/p/state-of-markets-ii</t>
        </is>
      </c>
      <c r="H137" s="4" t="inlineStr">
        <is>
          <t>2026-09-30</t>
        </is>
      </c>
      <c r="I137" s="4" t="inlineStr">
        <is>
          <t>vc_post</t>
        </is>
      </c>
      <c r="J137" s="4" t="inlineStr">
        <is>
          <t>M</t>
        </is>
      </c>
      <c r="K137" s="4" t="inlineStr">
        <is>
          <t>verified</t>
        </is>
      </c>
      <c r="L137" s="4" t="n"/>
      <c r="M137" s="4" t="n"/>
      <c r="N137" s="4" t="inlineStr"/>
    </row>
    <row r="138">
      <c r="A138" s="4" t="inlineStr">
        <is>
          <t>A28</t>
        </is>
      </c>
      <c r="B138" s="4" t="inlineStr">
        <is>
          <t>Emergent annual revenue run rate</t>
        </is>
      </c>
      <c r="C138" s="5" t="n">
        <v>120</v>
      </c>
      <c r="D138" s="4" t="inlineStr">
        <is>
          <t>USD million</t>
        </is>
      </c>
      <c r="E138" s="4" t="inlineStr">
        <is>
          <t>Jul 2026</t>
        </is>
      </c>
      <c r="F138" s="4" t="inlineStr">
        <is>
          <t>TechCrunch</t>
        </is>
      </c>
      <c r="G138" s="4" t="inlineStr">
        <is>
          <t>https://techcrunch.com/2026/07/15/indian-ai-coding-startup-emergent-becomes-a-unicorn-just-over-a-year-after-launch/</t>
        </is>
      </c>
      <c r="H138" s="4" t="inlineStr">
        <is>
          <t>2026-07-15</t>
        </is>
      </c>
      <c r="I138" s="4" t="inlineStr">
        <is>
          <t>company via secondary</t>
        </is>
      </c>
      <c r="J138" s="4" t="inlineStr">
        <is>
          <t>M</t>
        </is>
      </c>
      <c r="K138" s="4" t="inlineStr">
        <is>
          <t>verified</t>
        </is>
      </c>
      <c r="L138" s="4" t="n"/>
      <c r="M138" s="4" t="n"/>
      <c r="N138" s="4" t="inlineStr"/>
    </row>
    <row r="139">
      <c r="A139" s="4" t="inlineStr">
        <is>
          <t>A29</t>
        </is>
      </c>
      <c r="B139" s="4" t="inlineStr">
        <is>
          <t>Emergent share of revenue from India (midpoint of 8-9%)</t>
        </is>
      </c>
      <c r="C139" s="5" t="n">
        <v>0.08500000000000001</v>
      </c>
      <c r="D139" s="4" t="inlineStr">
        <is>
          <t>share</t>
        </is>
      </c>
      <c r="E139" s="4" t="inlineStr">
        <is>
          <t>Jul 2026</t>
        </is>
      </c>
      <c r="F139" s="4" t="inlineStr">
        <is>
          <t>TechCrunch</t>
        </is>
      </c>
      <c r="G139" s="4" t="inlineStr">
        <is>
          <t>https://techcrunch.com/2026/07/15/indian-ai-coding-startup-emergent-becomes-a-unicorn-just-over-a-year-after-launch/</t>
        </is>
      </c>
      <c r="H139" s="4" t="inlineStr">
        <is>
          <t>2026-07-15</t>
        </is>
      </c>
      <c r="I139" s="4" t="inlineStr">
        <is>
          <t>company via secondary</t>
        </is>
      </c>
      <c r="J139" s="4" t="inlineStr">
        <is>
          <t>M</t>
        </is>
      </c>
      <c r="K139" s="4" t="inlineStr">
        <is>
          <t>verified</t>
        </is>
      </c>
      <c r="L139" s="5" t="n">
        <v>0.08</v>
      </c>
      <c r="M139" s="5" t="n">
        <v>0.09</v>
      </c>
      <c r="N139" s="4" t="inlineStr"/>
    </row>
    <row r="140">
      <c r="A140" s="4" t="inlineStr">
        <is>
          <t>A30</t>
        </is>
      </c>
      <c r="B140" s="4" t="inlineStr">
        <is>
          <t>IndiaAI compute portal GPU price per hour, low end</t>
        </is>
      </c>
      <c r="C140" s="5" t="n">
        <v>65</v>
      </c>
      <c r="D140" s="4" t="inlineStr">
        <is>
          <t>INR per GPU hour</t>
        </is>
      </c>
      <c r="E140" s="4" t="inlineStr">
        <is>
          <t>2026</t>
        </is>
      </c>
      <c r="F140" s="4" t="inlineStr">
        <is>
          <t>Communications Today</t>
        </is>
      </c>
      <c r="G140" s="4" t="inlineStr">
        <is>
          <t>https://www.communicationstoday.co.in/indiaai-mission-faces-gap-between-capacity-and-deployed-gpus/</t>
        </is>
      </c>
      <c r="H140" s="4" t="inlineStr">
        <is>
          <t>2026</t>
        </is>
      </c>
      <c r="I140" s="4" t="inlineStr">
        <is>
          <t>secondary</t>
        </is>
      </c>
      <c r="J140" s="4" t="inlineStr">
        <is>
          <t>M</t>
        </is>
      </c>
      <c r="K140" s="4" t="inlineStr">
        <is>
          <t>verified</t>
        </is>
      </c>
      <c r="L140" s="4" t="n"/>
      <c r="M140" s="4" t="n"/>
      <c r="N140" s="4" t="inlineStr"/>
    </row>
    <row r="141">
      <c r="A141" s="4" t="inlineStr">
        <is>
          <t>A31</t>
        </is>
      </c>
      <c r="B141" s="4" t="inlineStr">
        <is>
          <t>IndiaAI compute portal GPU price per hour, high end</t>
        </is>
      </c>
      <c r="C141" s="5" t="n">
        <v>100</v>
      </c>
      <c r="D141" s="4" t="inlineStr">
        <is>
          <t>INR per GPU hour</t>
        </is>
      </c>
      <c r="E141" s="4" t="inlineStr">
        <is>
          <t>2026</t>
        </is>
      </c>
      <c r="F141" s="4" t="inlineStr">
        <is>
          <t>Communications Today</t>
        </is>
      </c>
      <c r="G141" s="4" t="inlineStr">
        <is>
          <t>https://www.communicationstoday.co.in/indiaai-mission-faces-gap-between-capacity-and-deployed-gpus/</t>
        </is>
      </c>
      <c r="H141" s="4" t="inlineStr">
        <is>
          <t>2026</t>
        </is>
      </c>
      <c r="I141" s="4" t="inlineStr">
        <is>
          <t>secondary</t>
        </is>
      </c>
      <c r="J141" s="4" t="inlineStr">
        <is>
          <t>M</t>
        </is>
      </c>
      <c r="K141" s="4" t="inlineStr">
        <is>
          <t>verified</t>
        </is>
      </c>
      <c r="L141" s="4" t="n"/>
      <c r="M141" s="4" t="n"/>
      <c r="N141" s="4" t="inlineStr"/>
    </row>
    <row r="142">
      <c r="A142" s="4" t="inlineStr">
        <is>
          <t>A32</t>
        </is>
      </c>
      <c r="B142" s="4" t="inlineStr">
        <is>
          <t>Neysa funding round (equity plus debt)</t>
        </is>
      </c>
      <c r="C142" s="5" t="n">
        <v>1200</v>
      </c>
      <c r="D142" s="4" t="inlineStr">
        <is>
          <t>USD million</t>
        </is>
      </c>
      <c r="E142" s="4" t="inlineStr">
        <is>
          <t>2026</t>
        </is>
      </c>
      <c r="F142" s="4" t="inlineStr">
        <is>
          <t>Entrackr</t>
        </is>
      </c>
      <c r="G142" s="4" t="inlineStr">
        <is>
          <t>https://entrackr.com/report/indian-startups-raise-74-bn-in-h1-2026-as-cred-meta-deal-lifts-funding-12123065</t>
        </is>
      </c>
      <c r="H142" s="4" t="inlineStr">
        <is>
          <t>2026</t>
        </is>
      </c>
      <c r="I142" s="4" t="inlineStr">
        <is>
          <t>secondary</t>
        </is>
      </c>
      <c r="J142" s="4" t="inlineStr">
        <is>
          <t>M</t>
        </is>
      </c>
      <c r="K142" s="4" t="inlineStr">
        <is>
          <t>verified</t>
        </is>
      </c>
      <c r="L142" s="4" t="n"/>
      <c r="M142" s="4" t="n"/>
      <c r="N142" s="4" t="inlineStr">
        <is>
          <t>About half debt, led by Blackstone.</t>
        </is>
      </c>
    </row>
    <row r="143">
      <c r="A143" s="4" t="inlineStr">
        <is>
          <t>A33</t>
        </is>
      </c>
      <c r="B143" s="4" t="inlineStr">
        <is>
          <t>Sarvam funding raised in 2026</t>
        </is>
      </c>
      <c r="C143" s="5" t="n">
        <v>308</v>
      </c>
      <c r="D143" s="4" t="inlineStr">
        <is>
          <t>USD million</t>
        </is>
      </c>
      <c r="E143" s="4" t="inlineStr">
        <is>
          <t>2026</t>
        </is>
      </c>
      <c r="F143" s="4" t="inlineStr">
        <is>
          <t>Entrackr</t>
        </is>
      </c>
      <c r="G143" s="4" t="inlineStr">
        <is>
          <t>https://entrackr.com/report/indian-startups-raise-74-bn-in-h1-2026-as-cred-meta-deal-lifts-funding-12123065</t>
        </is>
      </c>
      <c r="H143" s="4" t="inlineStr">
        <is>
          <t>2026</t>
        </is>
      </c>
      <c r="I143" s="4" t="inlineStr">
        <is>
          <t>secondary</t>
        </is>
      </c>
      <c r="J143" s="4" t="inlineStr">
        <is>
          <t>M</t>
        </is>
      </c>
      <c r="K143" s="4" t="inlineStr">
        <is>
          <t>verified</t>
        </is>
      </c>
      <c r="L143" s="4" t="n"/>
      <c r="M143" s="4" t="n"/>
      <c r="N143" s="4" t="inlineStr"/>
    </row>
    <row r="144">
      <c r="A144" s="4" t="inlineStr">
        <is>
          <t>A34</t>
        </is>
      </c>
      <c r="B144" s="4" t="inlineStr">
        <is>
          <t>Anthropic Sonnet 5.5 input price</t>
        </is>
      </c>
      <c r="C144" s="5" t="n">
        <v>2</v>
      </c>
      <c r="D144" s="4" t="inlineStr">
        <is>
          <t>USD per million tokens</t>
        </is>
      </c>
      <c r="E144" s="4" t="inlineStr">
        <is>
          <t>Oct 2026</t>
        </is>
      </c>
      <c r="F144" s="4" t="inlineStr">
        <is>
          <t>claude.com/pricing</t>
        </is>
      </c>
      <c r="G144" s="4" t="inlineStr">
        <is>
          <t>https://claude.com/pricing</t>
        </is>
      </c>
      <c r="H144" s="4" t="inlineStr">
        <is>
          <t>2026-10</t>
        </is>
      </c>
      <c r="I144" s="4" t="inlineStr">
        <is>
          <t>vendor price list</t>
        </is>
      </c>
      <c r="J144" s="4" t="inlineStr">
        <is>
          <t>H</t>
        </is>
      </c>
      <c r="K144" s="4" t="inlineStr">
        <is>
          <t>verified</t>
        </is>
      </c>
      <c r="L144" s="4" t="n"/>
      <c r="M144" s="4" t="n"/>
      <c r="N144" s="4" t="inlineStr"/>
    </row>
    <row r="145">
      <c r="A145" s="4" t="inlineStr">
        <is>
          <t>A35</t>
        </is>
      </c>
      <c r="B145" s="4" t="inlineStr">
        <is>
          <t>OpenAI small model (gpt-6-luna) input price</t>
        </is>
      </c>
      <c r="C145" s="5" t="n">
        <v>0.1</v>
      </c>
      <c r="D145" s="4" t="inlineStr">
        <is>
          <t>USD per million tokens</t>
        </is>
      </c>
      <c r="E145" s="4" t="inlineStr">
        <is>
          <t>Oct 2026</t>
        </is>
      </c>
      <c r="F145" s="4" t="inlineStr">
        <is>
          <t>developers.openai.com pricing</t>
        </is>
      </c>
      <c r="G145" s="4" t="inlineStr">
        <is>
          <t>https://developers.openai.com/api/docs/pricing</t>
        </is>
      </c>
      <c r="H145" s="4" t="inlineStr">
        <is>
          <t>2026-10</t>
        </is>
      </c>
      <c r="I145" s="4" t="inlineStr">
        <is>
          <t>vendor price list</t>
        </is>
      </c>
      <c r="J145" s="4" t="inlineStr">
        <is>
          <t>H</t>
        </is>
      </c>
      <c r="K145" s="4" t="inlineStr">
        <is>
          <t>verified</t>
        </is>
      </c>
      <c r="L145" s="4" t="n"/>
      <c r="M145" s="4" t="n"/>
      <c r="N145" s="4" t="inlineStr"/>
    </row>
    <row r="146">
      <c r="A146" s="4" t="inlineStr">
        <is>
          <t>A36</t>
        </is>
      </c>
      <c r="B146" s="4" t="inlineStr">
        <is>
          <t>Physical AI payback per deployed unit</t>
        </is>
      </c>
      <c r="C146" s="6" t="n">
        <v>24</v>
      </c>
      <c r="D146" s="4" t="inlineStr">
        <is>
          <t>months</t>
        </is>
      </c>
      <c r="E146" s="4" t="inlineStr">
        <is>
          <t>2026</t>
        </is>
      </c>
      <c r="F146" s="4" t="inlineStr">
        <is>
          <t>Assumption; no sourced figure in the set</t>
        </is>
      </c>
      <c r="G146" s="4" t="inlineStr"/>
      <c r="H146" s="4" t="inlineStr"/>
      <c r="I146" s="4" t="inlineStr">
        <is>
          <t>assumption</t>
        </is>
      </c>
      <c r="J146" s="4" t="inlineStr">
        <is>
          <t>L</t>
        </is>
      </c>
      <c r="K146" s="7" t="inlineStr">
        <is>
          <t>assumption</t>
        </is>
      </c>
      <c r="L146" s="6" t="n">
        <v>12</v>
      </c>
      <c r="M146" s="6" t="n">
        <v>36</v>
      </c>
      <c r="N146" s="4" t="inlineStr"/>
    </row>
    <row r="147">
      <c r="A147" s="4" t="inlineStr">
        <is>
          <t>A37</t>
        </is>
      </c>
      <c r="B147" s="4" t="inlineStr">
        <is>
          <t>Threshold: exception-handling staff as a share of voice AI revenue</t>
        </is>
      </c>
      <c r="C147" s="5" t="n">
        <v>0.2</v>
      </c>
      <c r="D147" s="4" t="inlineStr">
        <is>
          <t>share</t>
        </is>
      </c>
      <c r="E147" s="4" t="inlineStr">
        <is>
          <t>test</t>
        </is>
      </c>
      <c r="F147" s="4" t="inlineStr">
        <is>
          <t>Author's test</t>
        </is>
      </c>
      <c r="G147" s="4" t="inlineStr"/>
      <c r="H147" s="4" t="inlineStr"/>
      <c r="I147" s="4" t="inlineStr">
        <is>
          <t>scenario</t>
        </is>
      </c>
      <c r="J147" s="4" t="inlineStr">
        <is>
          <t>n/a</t>
        </is>
      </c>
      <c r="K147" s="4" t="inlineStr">
        <is>
          <t>scenario</t>
        </is>
      </c>
      <c r="L147" s="4" t="n"/>
      <c r="M147" s="4" t="n"/>
      <c r="N147" s="4" t="inlineStr"/>
    </row>
    <row r="148">
      <c r="A148" s="4" t="inlineStr">
        <is>
          <t>G1</t>
        </is>
      </c>
      <c r="B148" s="4" t="inlineStr">
        <is>
          <t>Ticket size for the fee ladder, point 1</t>
        </is>
      </c>
      <c r="C148" s="5" t="n">
        <v>1999</v>
      </c>
      <c r="D148" s="4" t="inlineStr">
        <is>
          <t>INR</t>
        </is>
      </c>
      <c r="E148" s="4" t="inlineStr">
        <is>
          <t>scenario</t>
        </is>
      </c>
      <c r="F148" s="4" t="inlineStr">
        <is>
          <t>Grid</t>
        </is>
      </c>
      <c r="G148" s="4" t="inlineStr"/>
      <c r="H148" s="4" t="inlineStr"/>
      <c r="I148" s="4" t="inlineStr">
        <is>
          <t>scenario</t>
        </is>
      </c>
      <c r="J148" s="4" t="inlineStr">
        <is>
          <t>n/a</t>
        </is>
      </c>
      <c r="K148" s="4" t="inlineStr">
        <is>
          <t>scenario</t>
        </is>
      </c>
      <c r="L148" s="4" t="n"/>
      <c r="M148" s="4" t="n"/>
      <c r="N148" s="4" t="inlineStr"/>
    </row>
    <row r="149">
      <c r="A149" s="4" t="inlineStr">
        <is>
          <t>G2</t>
        </is>
      </c>
      <c r="B149" s="4" t="inlineStr">
        <is>
          <t>Ticket size, point 2</t>
        </is>
      </c>
      <c r="C149" s="5" t="n">
        <v>2000</v>
      </c>
      <c r="D149" s="4" t="inlineStr">
        <is>
          <t>INR</t>
        </is>
      </c>
      <c r="E149" s="4" t="inlineStr">
        <is>
          <t>scenario</t>
        </is>
      </c>
      <c r="F149" s="4" t="inlineStr">
        <is>
          <t>Grid</t>
        </is>
      </c>
      <c r="G149" s="4" t="inlineStr"/>
      <c r="H149" s="4" t="inlineStr"/>
      <c r="I149" s="4" t="inlineStr">
        <is>
          <t>scenario</t>
        </is>
      </c>
      <c r="J149" s="4" t="inlineStr">
        <is>
          <t>n/a</t>
        </is>
      </c>
      <c r="K149" s="4" t="inlineStr">
        <is>
          <t>scenario</t>
        </is>
      </c>
      <c r="L149" s="4" t="n"/>
      <c r="M149" s="4" t="n"/>
      <c r="N149" s="4" t="inlineStr"/>
    </row>
    <row r="150">
      <c r="A150" s="4" t="inlineStr">
        <is>
          <t>G3</t>
        </is>
      </c>
      <c r="B150" s="4" t="inlineStr">
        <is>
          <t>Ticket size, point 3</t>
        </is>
      </c>
      <c r="C150" s="5" t="n">
        <v>5000</v>
      </c>
      <c r="D150" s="4" t="inlineStr">
        <is>
          <t>INR</t>
        </is>
      </c>
      <c r="E150" s="4" t="inlineStr">
        <is>
          <t>scenario</t>
        </is>
      </c>
      <c r="F150" s="4" t="inlineStr">
        <is>
          <t>Grid</t>
        </is>
      </c>
      <c r="G150" s="4" t="inlineStr"/>
      <c r="H150" s="4" t="inlineStr"/>
      <c r="I150" s="4" t="inlineStr">
        <is>
          <t>scenario</t>
        </is>
      </c>
      <c r="J150" s="4" t="inlineStr">
        <is>
          <t>n/a</t>
        </is>
      </c>
      <c r="K150" s="4" t="inlineStr">
        <is>
          <t>scenario</t>
        </is>
      </c>
      <c r="L150" s="4" t="n"/>
      <c r="M150" s="4" t="n"/>
      <c r="N150" s="4" t="inlineStr"/>
    </row>
    <row r="151">
      <c r="A151" s="4" t="inlineStr">
        <is>
          <t>G4</t>
        </is>
      </c>
      <c r="B151" s="4" t="inlineStr">
        <is>
          <t>Ticket size, point 4</t>
        </is>
      </c>
      <c r="C151" s="5" t="n">
        <v>10000</v>
      </c>
      <c r="D151" s="4" t="inlineStr">
        <is>
          <t>INR</t>
        </is>
      </c>
      <c r="E151" s="4" t="inlineStr">
        <is>
          <t>scenario</t>
        </is>
      </c>
      <c r="F151" s="4" t="inlineStr">
        <is>
          <t>Grid</t>
        </is>
      </c>
      <c r="G151" s="4" t="inlineStr"/>
      <c r="H151" s="4" t="inlineStr"/>
      <c r="I151" s="4" t="inlineStr">
        <is>
          <t>scenario</t>
        </is>
      </c>
      <c r="J151" s="4" t="inlineStr">
        <is>
          <t>n/a</t>
        </is>
      </c>
      <c r="K151" s="4" t="inlineStr">
        <is>
          <t>scenario</t>
        </is>
      </c>
      <c r="L151" s="4" t="n"/>
      <c r="M151" s="4" t="n"/>
      <c r="N151" s="4" t="inlineStr"/>
    </row>
    <row r="152">
      <c r="A152" s="4" t="inlineStr">
        <is>
          <t>G5</t>
        </is>
      </c>
      <c r="B152" s="4" t="inlineStr">
        <is>
          <t>Ticket size, point 5</t>
        </is>
      </c>
      <c r="C152" s="5" t="n">
        <v>25000</v>
      </c>
      <c r="D152" s="4" t="inlineStr">
        <is>
          <t>INR</t>
        </is>
      </c>
      <c r="E152" s="4" t="inlineStr">
        <is>
          <t>scenario</t>
        </is>
      </c>
      <c r="F152" s="4" t="inlineStr">
        <is>
          <t>Grid</t>
        </is>
      </c>
      <c r="G152" s="4" t="inlineStr"/>
      <c r="H152" s="4" t="inlineStr"/>
      <c r="I152" s="4" t="inlineStr">
        <is>
          <t>scenario</t>
        </is>
      </c>
      <c r="J152" s="4" t="inlineStr">
        <is>
          <t>n/a</t>
        </is>
      </c>
      <c r="K152" s="4" t="inlineStr">
        <is>
          <t>scenario</t>
        </is>
      </c>
      <c r="L152" s="4" t="n"/>
      <c r="M152" s="4" t="n"/>
      <c r="N152" s="4" t="inlineStr"/>
    </row>
    <row r="153">
      <c r="A153" s="4" t="inlineStr">
        <is>
          <t>G6</t>
        </is>
      </c>
      <c r="B153" s="4" t="inlineStr">
        <is>
          <t>Ticket size, point 6</t>
        </is>
      </c>
      <c r="C153" s="5" t="n">
        <v>50000</v>
      </c>
      <c r="D153" s="4" t="inlineStr">
        <is>
          <t>INR</t>
        </is>
      </c>
      <c r="E153" s="4" t="inlineStr">
        <is>
          <t>scenario</t>
        </is>
      </c>
      <c r="F153" s="4" t="inlineStr">
        <is>
          <t>Grid</t>
        </is>
      </c>
      <c r="G153" s="4" t="inlineStr"/>
      <c r="H153" s="4" t="inlineStr"/>
      <c r="I153" s="4" t="inlineStr">
        <is>
          <t>scenario</t>
        </is>
      </c>
      <c r="J153" s="4" t="inlineStr">
        <is>
          <t>n/a</t>
        </is>
      </c>
      <c r="K153" s="4" t="inlineStr">
        <is>
          <t>scenario</t>
        </is>
      </c>
      <c r="L153" s="4" t="n"/>
      <c r="M153" s="4" t="n"/>
      <c r="N153" s="4" t="inlineStr"/>
    </row>
    <row r="154">
      <c r="A154" s="4" t="inlineStr">
        <is>
          <t>G7</t>
        </is>
      </c>
      <c r="B154" s="4" t="inlineStr">
        <is>
          <t>Ticket size, point 7</t>
        </is>
      </c>
      <c r="C154" s="5" t="n">
        <v>75000</v>
      </c>
      <c r="D154" s="4" t="inlineStr">
        <is>
          <t>INR</t>
        </is>
      </c>
      <c r="E154" s="4" t="inlineStr">
        <is>
          <t>scenario</t>
        </is>
      </c>
      <c r="F154" s="4" t="inlineStr">
        <is>
          <t>Grid</t>
        </is>
      </c>
      <c r="G154" s="4" t="inlineStr"/>
      <c r="H154" s="4" t="inlineStr"/>
      <c r="I154" s="4" t="inlineStr">
        <is>
          <t>scenario</t>
        </is>
      </c>
      <c r="J154" s="4" t="inlineStr">
        <is>
          <t>n/a</t>
        </is>
      </c>
      <c r="K154" s="4" t="inlineStr">
        <is>
          <t>scenario</t>
        </is>
      </c>
      <c r="L154" s="4" t="n"/>
      <c r="M154" s="4" t="n"/>
      <c r="N154" s="4" t="inlineStr"/>
    </row>
    <row r="155">
      <c r="A155" s="4" t="inlineStr">
        <is>
          <t>G8</t>
        </is>
      </c>
      <c r="B155" s="4" t="inlineStr">
        <is>
          <t>Ticket size, point 8</t>
        </is>
      </c>
      <c r="C155" s="5" t="n">
        <v>150000</v>
      </c>
      <c r="D155" s="4" t="inlineStr">
        <is>
          <t>INR</t>
        </is>
      </c>
      <c r="E155" s="4" t="inlineStr">
        <is>
          <t>scenario</t>
        </is>
      </c>
      <c r="F155" s="4" t="inlineStr">
        <is>
          <t>Grid</t>
        </is>
      </c>
      <c r="G155" s="4" t="inlineStr"/>
      <c r="H155" s="4" t="inlineStr"/>
      <c r="I155" s="4" t="inlineStr">
        <is>
          <t>scenario</t>
        </is>
      </c>
      <c r="J155" s="4" t="inlineStr">
        <is>
          <t>n/a</t>
        </is>
      </c>
      <c r="K155" s="4" t="inlineStr">
        <is>
          <t>scenario</t>
        </is>
      </c>
      <c r="L155" s="4" t="n"/>
      <c r="M155" s="4" t="n"/>
      <c r="N155" s="4" t="inlineStr"/>
    </row>
    <row r="156">
      <c r="A156" s="4" t="inlineStr">
        <is>
          <t>G9</t>
        </is>
      </c>
      <c r="B156" s="4" t="inlineStr">
        <is>
          <t>Ticket size, point 9</t>
        </is>
      </c>
      <c r="C156" s="5" t="n">
        <v>300000</v>
      </c>
      <c r="D156" s="4" t="inlineStr">
        <is>
          <t>INR</t>
        </is>
      </c>
      <c r="E156" s="4" t="inlineStr">
        <is>
          <t>scenario</t>
        </is>
      </c>
      <c r="F156" s="4" t="inlineStr">
        <is>
          <t>Grid</t>
        </is>
      </c>
      <c r="G156" s="4" t="inlineStr"/>
      <c r="H156" s="4" t="inlineStr"/>
      <c r="I156" s="4" t="inlineStr">
        <is>
          <t>scenario</t>
        </is>
      </c>
      <c r="J156" s="4" t="inlineStr">
        <is>
          <t>n/a</t>
        </is>
      </c>
      <c r="K156" s="4" t="inlineStr">
        <is>
          <t>scenario</t>
        </is>
      </c>
      <c r="L156" s="4" t="n"/>
      <c r="M156" s="4" t="n"/>
      <c r="N156" s="4" t="inlineStr"/>
    </row>
    <row r="157">
      <c r="A157" s="4" t="inlineStr">
        <is>
          <t>X1</t>
        </is>
      </c>
      <c r="B157" s="4" t="inlineStr">
        <is>
          <t>Groww IPO issue price</t>
        </is>
      </c>
      <c r="C157" s="5" t="n">
        <v>100</v>
      </c>
      <c r="D157" s="4" t="inlineStr">
        <is>
          <t>INR per share</t>
        </is>
      </c>
      <c r="E157" s="4" t="inlineStr">
        <is>
          <t>Nov 2025</t>
        </is>
      </c>
      <c r="F157" s="4" t="inlineStr">
        <is>
          <t>INDmoney</t>
        </is>
      </c>
      <c r="G157" s="4" t="inlineStr">
        <is>
          <t>https://www.indmoney.com/stocks/billionbrains-garage-ventures-ltd-share-price</t>
        </is>
      </c>
      <c r="H157" s="4" t="inlineStr">
        <is>
          <t>2025-11</t>
        </is>
      </c>
      <c r="I157" s="4" t="inlineStr">
        <is>
          <t>exchange via secondary</t>
        </is>
      </c>
      <c r="J157" s="4" t="inlineStr">
        <is>
          <t>M</t>
        </is>
      </c>
      <c r="K157" s="4" t="inlineStr">
        <is>
          <t>verified</t>
        </is>
      </c>
      <c r="L157" s="4" t="n"/>
      <c r="M157" s="4" t="n"/>
      <c r="N157" s="4" t="inlineStr"/>
    </row>
    <row r="158">
      <c r="A158" s="4" t="inlineStr">
        <is>
          <t>X2</t>
        </is>
      </c>
      <c r="B158" s="4" t="inlineStr">
        <is>
          <t>Groww share price, 24 Sep 2026</t>
        </is>
      </c>
      <c r="C158" s="5" t="n">
        <v>185.55</v>
      </c>
      <c r="D158" s="4" t="inlineStr">
        <is>
          <t>INR per share</t>
        </is>
      </c>
      <c r="E158" s="4" t="inlineStr">
        <is>
          <t>2026-09-24</t>
        </is>
      </c>
      <c r="F158" s="4" t="inlineStr">
        <is>
          <t>INDmoney</t>
        </is>
      </c>
      <c r="G158" s="4" t="inlineStr">
        <is>
          <t>https://www.indmoney.com/stocks/billionbrains-garage-ventures-ltd-share-price</t>
        </is>
      </c>
      <c r="H158" s="4" t="inlineStr">
        <is>
          <t>2026-09-24</t>
        </is>
      </c>
      <c r="I158" s="4" t="inlineStr">
        <is>
          <t>exchange via secondary</t>
        </is>
      </c>
      <c r="J158" s="4" t="inlineStr">
        <is>
          <t>M</t>
        </is>
      </c>
      <c r="K158" s="4" t="inlineStr">
        <is>
          <t>verified</t>
        </is>
      </c>
      <c r="L158" s="4" t="n"/>
      <c r="M158" s="4" t="n"/>
      <c r="N158" s="4" t="inlineStr"/>
    </row>
    <row r="159">
      <c r="A159" s="4" t="inlineStr">
        <is>
          <t>X3</t>
        </is>
      </c>
      <c r="B159" s="4" t="inlineStr">
        <is>
          <t>Aye Finance listing-day change over issue (about flat)</t>
        </is>
      </c>
      <c r="C159" s="5" t="n">
        <v>0</v>
      </c>
      <c r="D159" s="4" t="inlineStr">
        <is>
          <t>share</t>
        </is>
      </c>
      <c r="E159" s="4" t="inlineStr">
        <is>
          <t>Feb 2026</t>
        </is>
      </c>
      <c r="F159" s="4" t="inlineStr">
        <is>
          <t>Inc42 IPO tracker</t>
        </is>
      </c>
      <c r="G159" s="4" t="inlineStr">
        <is>
          <t>https://inc42.com/features/indian-startup-ipo-tracker-2026/</t>
        </is>
      </c>
      <c r="H159" s="4" t="inlineStr">
        <is>
          <t>2026-02</t>
        </is>
      </c>
      <c r="I159" s="4" t="inlineStr">
        <is>
          <t>exchange via secondary</t>
        </is>
      </c>
      <c r="J159" s="4" t="inlineStr">
        <is>
          <t>M</t>
        </is>
      </c>
      <c r="K159" s="4" t="inlineStr">
        <is>
          <t>verified</t>
        </is>
      </c>
      <c r="L159" s="4" t="n"/>
      <c r="M159" s="4" t="n"/>
      <c r="N159" s="4" t="inlineStr"/>
    </row>
    <row r="160">
      <c r="A160" s="4" t="inlineStr">
        <is>
          <t>X4</t>
        </is>
      </c>
      <c r="B160" s="4" t="inlineStr">
        <is>
          <t>Kissht listing-day change over issue</t>
        </is>
      </c>
      <c r="C160" s="5" t="n">
        <v>0.11</v>
      </c>
      <c r="D160" s="4" t="inlineStr">
        <is>
          <t>share</t>
        </is>
      </c>
      <c r="E160" s="4" t="inlineStr">
        <is>
          <t>May 2026</t>
        </is>
      </c>
      <c r="F160" s="4" t="inlineStr">
        <is>
          <t>Inc42 IPO tracker</t>
        </is>
      </c>
      <c r="G160" s="4" t="inlineStr">
        <is>
          <t>https://inc42.com/features/indian-startup-ipo-tracker-2026/</t>
        </is>
      </c>
      <c r="H160" s="4" t="inlineStr">
        <is>
          <t>2026-05</t>
        </is>
      </c>
      <c r="I160" s="4" t="inlineStr">
        <is>
          <t>exchange via secondary</t>
        </is>
      </c>
      <c r="J160" s="4" t="inlineStr">
        <is>
          <t>M</t>
        </is>
      </c>
      <c r="K160" s="4" t="inlineStr">
        <is>
          <t>verified</t>
        </is>
      </c>
      <c r="L160" s="4" t="n"/>
      <c r="M160" s="4" t="n"/>
      <c r="N160" s="4" t="inlineStr"/>
    </row>
    <row r="161">
      <c r="A161" s="4" t="inlineStr">
        <is>
          <t>X5</t>
        </is>
      </c>
      <c r="B161" s="4" t="inlineStr">
        <is>
          <t>Turtlemint listing-day change over issue</t>
        </is>
      </c>
      <c r="C161" s="5" t="n">
        <v>-0.11</v>
      </c>
      <c r="D161" s="4" t="inlineStr">
        <is>
          <t>share</t>
        </is>
      </c>
      <c r="E161" s="4" t="inlineStr">
        <is>
          <t>Jun 2026</t>
        </is>
      </c>
      <c r="F161" s="4" t="inlineStr">
        <is>
          <t>Inc42 IPO tracker</t>
        </is>
      </c>
      <c r="G161" s="4" t="inlineStr">
        <is>
          <t>https://inc42.com/features/indian-startup-ipo-tracker-2026/</t>
        </is>
      </c>
      <c r="H161" s="4" t="inlineStr">
        <is>
          <t>2026-06</t>
        </is>
      </c>
      <c r="I161" s="4" t="inlineStr">
        <is>
          <t>exchange via secondary</t>
        </is>
      </c>
      <c r="J161" s="4" t="inlineStr">
        <is>
          <t>M</t>
        </is>
      </c>
      <c r="K161" s="4" t="inlineStr">
        <is>
          <t>verified</t>
        </is>
      </c>
      <c r="L161" s="4" t="n"/>
      <c r="M161" s="4" t="n"/>
      <c r="N161" s="4" t="inlineStr"/>
    </row>
    <row r="162">
      <c r="A162" s="4" t="inlineStr">
        <is>
          <t>X6</t>
        </is>
      </c>
      <c r="B162" s="4" t="inlineStr">
        <is>
          <t>CRED funding round led by Meta</t>
        </is>
      </c>
      <c r="C162" s="5" t="n">
        <v>900</v>
      </c>
      <c r="D162" s="4" t="inlineStr">
        <is>
          <t>USD million</t>
        </is>
      </c>
      <c r="E162" s="4" t="inlineStr">
        <is>
          <t>Jun 2026</t>
        </is>
      </c>
      <c r="F162" s="4" t="inlineStr">
        <is>
          <t>CNBC</t>
        </is>
      </c>
      <c r="G162" s="4" t="inlineStr">
        <is>
          <t>https://www.cnbc.com/2026/06/23/4-billion-startup-cred-meta-whatsapp.html</t>
        </is>
      </c>
      <c r="H162" s="4" t="inlineStr">
        <is>
          <t>2026-06-23</t>
        </is>
      </c>
      <c r="I162" s="4" t="inlineStr">
        <is>
          <t>secondary</t>
        </is>
      </c>
      <c r="J162" s="4" t="inlineStr">
        <is>
          <t>H</t>
        </is>
      </c>
      <c r="K162" s="4" t="inlineStr">
        <is>
          <t>verified</t>
        </is>
      </c>
      <c r="L162" s="4" t="n"/>
      <c r="M162" s="4" t="n"/>
      <c r="N162" s="4" t="inlineStr">
        <is>
          <t>At a USD 4.5 bn valuation.</t>
        </is>
      </c>
    </row>
    <row r="163">
      <c r="A163" s="4" t="inlineStr">
        <is>
          <t>X7</t>
        </is>
      </c>
      <c r="B163" s="4" t="inlineStr">
        <is>
          <t>Navi funding from Prosus</t>
        </is>
      </c>
      <c r="C163" s="5" t="n">
        <v>100</v>
      </c>
      <c r="D163" s="4" t="inlineStr">
        <is>
          <t>USD million</t>
        </is>
      </c>
      <c r="E163" s="4" t="inlineStr">
        <is>
          <t>Aug 2026</t>
        </is>
      </c>
      <c r="F163" s="4" t="inlineStr">
        <is>
          <t>TechCrunch</t>
        </is>
      </c>
      <c r="G163" s="4" t="inlineStr">
        <is>
          <t>https://techcrunch.com/2026/08/19/sachin-bansals-fintech-navi-raises-first-outside-capital-with-100m-prosus-investment/</t>
        </is>
      </c>
      <c r="H163" s="4" t="inlineStr">
        <is>
          <t>2026-08-19</t>
        </is>
      </c>
      <c r="I163" s="4" t="inlineStr">
        <is>
          <t>secondary</t>
        </is>
      </c>
      <c r="J163" s="4" t="inlineStr">
        <is>
          <t>H</t>
        </is>
      </c>
      <c r="K163" s="4" t="inlineStr">
        <is>
          <t>verified</t>
        </is>
      </c>
      <c r="L163" s="4" t="n"/>
      <c r="M163" s="4" t="n"/>
      <c r="N163" s="4" t="inlineStr">
        <is>
          <t>At about USD 1.3 bn.</t>
        </is>
      </c>
    </row>
    <row r="164">
      <c r="A164" s="4" t="inlineStr">
        <is>
          <t>X8</t>
        </is>
      </c>
      <c r="B164" s="4" t="inlineStr">
        <is>
          <t>India fintech funding, H1 2026</t>
        </is>
      </c>
      <c r="C164" s="5" t="n">
        <v>2</v>
      </c>
      <c r="D164" s="4" t="inlineStr">
        <is>
          <t>USD billion</t>
        </is>
      </c>
      <c r="E164" s="4" t="inlineStr">
        <is>
          <t>H1 2026</t>
        </is>
      </c>
      <c r="F164" s="4" t="inlineStr">
        <is>
          <t>Tracxn via IndianTelevision</t>
        </is>
      </c>
      <c r="G164" s="4" t="inlineStr">
        <is>
          <t>https://indiantelevision.com/mam/fintech-funding-jumps-to-2-billion-in-h1-as-mega-deals-outweigh-fewer-rounds/</t>
        </is>
      </c>
      <c r="H164" s="4" t="inlineStr">
        <is>
          <t>2026-07</t>
        </is>
      </c>
      <c r="I164" s="4" t="inlineStr">
        <is>
          <t>measured</t>
        </is>
      </c>
      <c r="J164" s="4" t="inlineStr">
        <is>
          <t>H</t>
        </is>
      </c>
      <c r="K164" s="4" t="inlineStr">
        <is>
          <t>verified</t>
        </is>
      </c>
      <c r="L164" s="4" t="n"/>
      <c r="M164" s="4" t="n"/>
      <c r="N164" s="4" t="inlineStr">
        <is>
          <t>106 rounds vs 186; early stage USD 367 mn; seed USD 68.6 mn.</t>
        </is>
      </c>
    </row>
    <row r="165">
      <c r="A165" s="4" t="inlineStr">
        <is>
          <t>X9</t>
        </is>
      </c>
      <c r="B165" s="4" t="inlineStr">
        <is>
          <t>India fintech funding, early stage, H1 2026</t>
        </is>
      </c>
      <c r="C165" s="5" t="n">
        <v>367</v>
      </c>
      <c r="D165" s="4" t="inlineStr">
        <is>
          <t>USD million</t>
        </is>
      </c>
      <c r="E165" s="4" t="inlineStr">
        <is>
          <t>H1 2026</t>
        </is>
      </c>
      <c r="F165" s="4" t="inlineStr">
        <is>
          <t>Tracxn</t>
        </is>
      </c>
      <c r="G165" s="4" t="inlineStr">
        <is>
          <t>https://indiantelevision.com/mam/fintech-funding-jumps-to-2-billion-in-h1-as-mega-deals-outweigh-fewer-rounds/</t>
        </is>
      </c>
      <c r="H165" s="4" t="inlineStr">
        <is>
          <t>2026-07</t>
        </is>
      </c>
      <c r="I165" s="4" t="inlineStr">
        <is>
          <t>measured</t>
        </is>
      </c>
      <c r="J165" s="4" t="inlineStr">
        <is>
          <t>H</t>
        </is>
      </c>
      <c r="K165" s="4" t="inlineStr">
        <is>
          <t>verified</t>
        </is>
      </c>
      <c r="L165" s="4" t="n"/>
      <c r="M165" s="4" t="n"/>
      <c r="N165" s="4" t="inlineStr"/>
    </row>
    <row r="166">
      <c r="A166" s="4" t="inlineStr">
        <is>
          <t>X10</t>
        </is>
      </c>
      <c r="B166" s="4" t="inlineStr">
        <is>
          <t>India fintech funding, seed, H1 2026</t>
        </is>
      </c>
      <c r="C166" s="5" t="n">
        <v>68.59999999999999</v>
      </c>
      <c r="D166" s="4" t="inlineStr">
        <is>
          <t>USD million</t>
        </is>
      </c>
      <c r="E166" s="4" t="inlineStr">
        <is>
          <t>H1 2026</t>
        </is>
      </c>
      <c r="F166" s="4" t="inlineStr">
        <is>
          <t>Tracxn</t>
        </is>
      </c>
      <c r="G166" s="4" t="inlineStr">
        <is>
          <t>https://indiantelevision.com/mam/fintech-funding-jumps-to-2-billion-in-h1-as-mega-deals-outweigh-fewer-rounds/</t>
        </is>
      </c>
      <c r="H166" s="4" t="inlineStr">
        <is>
          <t>2026-07</t>
        </is>
      </c>
      <c r="I166" s="4" t="inlineStr">
        <is>
          <t>measured</t>
        </is>
      </c>
      <c r="J166" s="4" t="inlineStr">
        <is>
          <t>H</t>
        </is>
      </c>
      <c r="K166" s="4" t="inlineStr">
        <is>
          <t>verified</t>
        </is>
      </c>
      <c r="L166" s="4" t="n"/>
      <c r="M166" s="4" t="n"/>
      <c r="N166" s="4" t="inlineStr">
        <is>
          <t>Seed for all of 2025 was USD 177 mn.</t>
        </is>
      </c>
    </row>
    <row r="167">
      <c r="A167" s="4" t="inlineStr">
        <is>
          <t>X11</t>
        </is>
      </c>
      <c r="B167" s="4" t="inlineStr">
        <is>
          <t>Fund III target, low end</t>
        </is>
      </c>
      <c r="C167" s="5" t="n">
        <v>400</v>
      </c>
      <c r="D167" s="4" t="inlineStr">
        <is>
          <t>INR crore</t>
        </is>
      </c>
      <c r="E167" s="4" t="inlineStr">
        <is>
          <t>2026</t>
        </is>
      </c>
      <c r="F167" s="4" t="inlineStr">
        <is>
          <t>Mint, 25 Jun 2026</t>
        </is>
      </c>
      <c r="G167" s="4" t="inlineStr"/>
      <c r="H167" s="4" t="inlineStr">
        <is>
          <t>2026-06-25</t>
        </is>
      </c>
      <c r="I167" s="4" t="inlineStr">
        <is>
          <t>secondary</t>
        </is>
      </c>
      <c r="J167" s="4" t="inlineStr">
        <is>
          <t>H</t>
        </is>
      </c>
      <c r="K167" s="4" t="inlineStr">
        <is>
          <t>verified</t>
        </is>
      </c>
      <c r="L167" s="4" t="n"/>
      <c r="M167" s="4" t="n"/>
      <c r="N167" s="4" t="inlineStr">
        <is>
          <t>Not yet closed.</t>
        </is>
      </c>
    </row>
    <row r="168">
      <c r="A168" s="4" t="inlineStr">
        <is>
          <t>X12</t>
        </is>
      </c>
      <c r="B168" s="4" t="inlineStr">
        <is>
          <t>Fund III target, high end</t>
        </is>
      </c>
      <c r="C168" s="5" t="n">
        <v>500</v>
      </c>
      <c r="D168" s="4" t="inlineStr">
        <is>
          <t>INR crore</t>
        </is>
      </c>
      <c r="E168" s="4" t="inlineStr">
        <is>
          <t>2026</t>
        </is>
      </c>
      <c r="F168" s="4" t="inlineStr">
        <is>
          <t>Mint, 25 Jun 2026</t>
        </is>
      </c>
      <c r="G168" s="4" t="inlineStr"/>
      <c r="H168" s="4" t="inlineStr">
        <is>
          <t>2026-06-25</t>
        </is>
      </c>
      <c r="I168" s="4" t="inlineStr">
        <is>
          <t>secondary</t>
        </is>
      </c>
      <c r="J168" s="4" t="inlineStr">
        <is>
          <t>H</t>
        </is>
      </c>
      <c r="K168" s="4" t="inlineStr">
        <is>
          <t>verified</t>
        </is>
      </c>
      <c r="L168" s="4" t="n"/>
      <c r="M168" s="4" t="n"/>
      <c r="N168" s="4" t="inlineStr"/>
    </row>
    <row r="169">
      <c r="A169" s="4" t="inlineStr">
        <is>
          <t>X13</t>
        </is>
      </c>
      <c r="B169" s="4" t="inlineStr">
        <is>
          <t>Portfolio companies planned, low end</t>
        </is>
      </c>
      <c r="C169" s="5" t="n">
        <v>14</v>
      </c>
      <c r="D169" s="4" t="inlineStr">
        <is>
          <t>count</t>
        </is>
      </c>
      <c r="E169" s="4" t="inlineStr">
        <is>
          <t>2026</t>
        </is>
      </c>
      <c r="F169" s="4" t="inlineStr">
        <is>
          <t>Mint, 25 Jun 2026</t>
        </is>
      </c>
      <c r="G169" s="4" t="inlineStr"/>
      <c r="H169" s="4" t="inlineStr">
        <is>
          <t>2026-06-25</t>
        </is>
      </c>
      <c r="I169" s="4" t="inlineStr">
        <is>
          <t>secondary</t>
        </is>
      </c>
      <c r="J169" s="4" t="inlineStr">
        <is>
          <t>H</t>
        </is>
      </c>
      <c r="K169" s="4" t="inlineStr">
        <is>
          <t>verified</t>
        </is>
      </c>
      <c r="L169" s="4" t="n"/>
      <c r="M169" s="4" t="n"/>
      <c r="N169" s="4" t="inlineStr"/>
    </row>
    <row r="170">
      <c r="A170" s="4" t="inlineStr">
        <is>
          <t>X14</t>
        </is>
      </c>
      <c r="B170" s="4" t="inlineStr">
        <is>
          <t>Portfolio companies planned, high end</t>
        </is>
      </c>
      <c r="C170" s="5" t="n">
        <v>16</v>
      </c>
      <c r="D170" s="4" t="inlineStr">
        <is>
          <t>count</t>
        </is>
      </c>
      <c r="E170" s="4" t="inlineStr">
        <is>
          <t>2026</t>
        </is>
      </c>
      <c r="F170" s="4" t="inlineStr">
        <is>
          <t>Mint, 25 Jun 2026</t>
        </is>
      </c>
      <c r="G170" s="4" t="inlineStr"/>
      <c r="H170" s="4" t="inlineStr">
        <is>
          <t>2026-06-25</t>
        </is>
      </c>
      <c r="I170" s="4" t="inlineStr">
        <is>
          <t>secondary</t>
        </is>
      </c>
      <c r="J170" s="4" t="inlineStr">
        <is>
          <t>H</t>
        </is>
      </c>
      <c r="K170" s="4" t="inlineStr">
        <is>
          <t>verified</t>
        </is>
      </c>
      <c r="L170" s="4" t="n"/>
      <c r="M170" s="4" t="n"/>
      <c r="N170" s="4" t="inlineStr"/>
    </row>
    <row r="171">
      <c r="A171" s="4" t="inlineStr">
        <is>
          <t>X15</t>
        </is>
      </c>
      <c r="B171" s="4" t="inlineStr">
        <is>
          <t>Initial cheque, low end</t>
        </is>
      </c>
      <c r="C171" s="5" t="n">
        <v>10</v>
      </c>
      <c r="D171" s="4" t="inlineStr">
        <is>
          <t>INR crore</t>
        </is>
      </c>
      <c r="E171" s="4" t="inlineStr">
        <is>
          <t>2026</t>
        </is>
      </c>
      <c r="F171" s="4" t="inlineStr">
        <is>
          <t>Mint, 25 Jun 2026</t>
        </is>
      </c>
      <c r="G171" s="4" t="inlineStr"/>
      <c r="H171" s="4" t="inlineStr">
        <is>
          <t>2026-06-25</t>
        </is>
      </c>
      <c r="I171" s="4" t="inlineStr">
        <is>
          <t>secondary</t>
        </is>
      </c>
      <c r="J171" s="4" t="inlineStr">
        <is>
          <t>H</t>
        </is>
      </c>
      <c r="K171" s="4" t="inlineStr">
        <is>
          <t>verified</t>
        </is>
      </c>
      <c r="L171" s="4" t="n"/>
      <c r="M171" s="4" t="n"/>
      <c r="N171" s="4" t="inlineStr">
        <is>
          <t>Equal amount reserved for follow-ons.</t>
        </is>
      </c>
    </row>
    <row r="172">
      <c r="A172" s="4" t="inlineStr">
        <is>
          <t>X16</t>
        </is>
      </c>
      <c r="B172" s="4" t="inlineStr">
        <is>
          <t>Initial cheque, high end</t>
        </is>
      </c>
      <c r="C172" s="5" t="n">
        <v>20</v>
      </c>
      <c r="D172" s="4" t="inlineStr">
        <is>
          <t>INR crore</t>
        </is>
      </c>
      <c r="E172" s="4" t="inlineStr">
        <is>
          <t>2026</t>
        </is>
      </c>
      <c r="F172" s="4" t="inlineStr">
        <is>
          <t>Mint, 25 Jun 2026</t>
        </is>
      </c>
      <c r="G172" s="4" t="inlineStr"/>
      <c r="H172" s="4" t="inlineStr">
        <is>
          <t>2026-06-25</t>
        </is>
      </c>
      <c r="I172" s="4" t="inlineStr">
        <is>
          <t>secondary</t>
        </is>
      </c>
      <c r="J172" s="4" t="inlineStr">
        <is>
          <t>H</t>
        </is>
      </c>
      <c r="K172" s="4" t="inlineStr">
        <is>
          <t>verified</t>
        </is>
      </c>
      <c r="L172" s="4" t="n"/>
      <c r="M172" s="4" t="n"/>
      <c r="N17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48" customWidth="1" min="4" max="4"/>
    <col width="18" customWidth="1" min="5" max="5"/>
    <col width="60" customWidth="1" min="6" max="6"/>
  </cols>
  <sheetData>
    <row r="1">
      <c r="A1" s="8" t="inlineStr">
        <is>
          <t>F1 Payments: one merchant payment on UPI after 15 Oct 2026</t>
        </is>
      </c>
    </row>
    <row r="2">
      <c r="A2" s="2" t="inlineStr">
        <is>
          <t>Revenue is a fee set by rule; the P&amp;L question is what the company keeps and what it sells above the rail.</t>
        </is>
      </c>
    </row>
    <row r="3"/>
    <row r="4">
      <c r="A4" s="3" t="inlineStr">
        <is>
          <t>Line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Excel formula (what it does)</t>
        </is>
      </c>
      <c r="E4" s="3" t="inlineStr">
        <is>
          <t>Inputs used</t>
        </is>
      </c>
      <c r="F4" s="3" t="inlineStr">
        <is>
          <t>Note</t>
        </is>
      </c>
    </row>
    <row r="5">
      <c r="A5" s="9" t="inlineStr">
        <is>
          <t>Revenue</t>
        </is>
      </c>
    </row>
    <row r="6">
      <c r="A6" s="1" t="inlineStr">
        <is>
          <t>Example payment size</t>
        </is>
      </c>
      <c r="B6" s="10">
        <f>in_P22</f>
        <v/>
      </c>
      <c r="C6" t="inlineStr">
        <is>
          <t>INR</t>
        </is>
      </c>
      <c r="D6" s="1" t="inlineStr">
        <is>
          <t>Scenario input</t>
        </is>
      </c>
      <c r="E6" t="inlineStr">
        <is>
          <t>P22</t>
        </is>
      </c>
      <c r="F6" s="1" t="inlineStr"/>
    </row>
    <row r="7">
      <c r="A7" s="1" t="inlineStr">
        <is>
          <t>MDR on this payment</t>
        </is>
      </c>
      <c r="B7" s="11">
        <f>IF(B6&gt;in_P2,MIN(in_P1*B6,in_P3),0)</f>
        <v/>
      </c>
      <c r="C7" t="inlineStr">
        <is>
          <t>INR</t>
        </is>
      </c>
      <c r="D7" s="1" t="inlineStr">
        <is>
          <t>0 at or below Rs 2,000; 0.4% above; capped at Rs 300</t>
        </is>
      </c>
      <c r="E7" t="inlineStr">
        <is>
          <t>P2, P1, P3</t>
        </is>
      </c>
      <c r="F7" s="1" t="inlineStr"/>
    </row>
    <row r="8">
      <c r="A8" s="1" t="inlineStr">
        <is>
          <t>Effective rate on this payment</t>
        </is>
      </c>
      <c r="B8" s="12">
        <f>B7/B6</f>
        <v/>
      </c>
      <c r="C8" t="inlineStr">
        <is>
          <t>share</t>
        </is>
      </c>
      <c r="D8" s="1" t="inlineStr"/>
      <c r="E8" t="inlineStr"/>
      <c r="F8" s="1" t="inlineStr"/>
    </row>
    <row r="9">
      <c r="A9" s="1" t="inlineStr">
        <is>
          <t>Acquiring side's share (assumption)</t>
        </is>
      </c>
      <c r="B9" s="11">
        <f>B7*in_P19</f>
        <v/>
      </c>
      <c r="C9" t="inlineStr">
        <is>
          <t>INR</t>
        </is>
      </c>
      <c r="D9" s="1" t="inlineStr">
        <is>
          <t>Split not published; 30 to 50% assumed</t>
        </is>
      </c>
      <c r="E9" t="inlineStr">
        <is>
          <t>P19</t>
        </is>
      </c>
      <c r="F9" s="1" t="inlineStr"/>
    </row>
    <row r="10">
      <c r="A10" s="1" t="inlineStr">
        <is>
          <t>Average UPI ticket, Sep 2026</t>
        </is>
      </c>
      <c r="B10" s="11">
        <f>in_P7*10000000/(in_P6*1000000)</f>
        <v/>
      </c>
      <c r="C10" t="inlineStr">
        <is>
          <t>INR</t>
        </is>
      </c>
      <c r="D10" s="1" t="inlineStr">
        <is>
          <t>Value in crore over count in million</t>
        </is>
      </c>
      <c r="E10" t="inlineStr">
        <is>
          <t>P7, P6</t>
        </is>
      </c>
      <c r="F10" s="1" t="inlineStr"/>
    </row>
    <row r="11">
      <c r="A11" s="1" t="inlineStr">
        <is>
          <t>MDR on the average ticket</t>
        </is>
      </c>
      <c r="B11" s="11">
        <f>IF(B10&gt;in_P2,MIN(in_P1*B10,in_P3),0)</f>
        <v/>
      </c>
      <c r="C11" t="inlineStr">
        <is>
          <t>INR</t>
        </is>
      </c>
      <c r="D11" s="1" t="inlineStr">
        <is>
          <t>Below the floor, so zero</t>
        </is>
      </c>
      <c r="E11" t="inlineStr">
        <is>
          <t>P2, P1, P3</t>
        </is>
      </c>
      <c r="F11" s="1" t="inlineStr"/>
    </row>
    <row r="12">
      <c r="A12" s="1" t="inlineStr">
        <is>
          <t>Share of merchant transactions that pay any MDR (upper bound)</t>
        </is>
      </c>
      <c r="B12" s="12">
        <f>in_P24</f>
        <v/>
      </c>
      <c r="C12" t="inlineStr">
        <is>
          <t>share of P2M volume</t>
        </is>
      </c>
      <c r="D12" s="1" t="inlineStr">
        <is>
          <t>NPCI: more than 95% are at or below Rs 2,000</t>
        </is>
      </c>
      <c r="E12" t="inlineStr">
        <is>
          <t>P24</t>
        </is>
      </c>
      <c r="F12" s="1" t="inlineStr"/>
    </row>
    <row r="13">
      <c r="A13" s="9" t="inlineStr">
        <is>
          <t>Costs and margin</t>
        </is>
      </c>
    </row>
    <row r="14">
      <c r="A14" s="1" t="inlineStr">
        <is>
          <t>Net take rate after pass-through (assumption)</t>
        </is>
      </c>
      <c r="B14" s="12">
        <f>in_P20</f>
        <v/>
      </c>
      <c r="C14" t="inlineStr">
        <is>
          <t>share of value</t>
        </is>
      </c>
      <c r="D14" s="1" t="inlineStr">
        <is>
          <t>0.1 to 0.3%</t>
        </is>
      </c>
      <c r="E14" t="inlineStr">
        <is>
          <t>P20</t>
        </is>
      </c>
      <c r="F14" s="1" t="inlineStr"/>
    </row>
    <row r="15">
      <c r="A15" s="1" t="inlineStr">
        <is>
          <t>Net revenue on the example payment</t>
        </is>
      </c>
      <c r="B15" s="11">
        <f>B6*B14</f>
        <v/>
      </c>
      <c r="C15" t="inlineStr">
        <is>
          <t>INR</t>
        </is>
      </c>
      <c r="D15" s="1" t="inlineStr"/>
      <c r="E15" t="inlineStr"/>
      <c r="F15" s="1" t="inlineStr"/>
    </row>
    <row r="16">
      <c r="A16" s="1" t="inlineStr">
        <is>
          <t>Fraud and chargeback loss on the example payment (assumption)</t>
        </is>
      </c>
      <c r="B16" s="11">
        <f>B6*in_P21</f>
        <v/>
      </c>
      <c r="C16" t="inlineStr">
        <is>
          <t>INR</t>
        </is>
      </c>
      <c r="D16" s="1" t="inlineStr"/>
      <c r="E16" t="inlineStr">
        <is>
          <t>P21</t>
        </is>
      </c>
      <c r="F16" s="1" t="inlineStr"/>
    </row>
    <row r="17">
      <c r="A17" s="1" t="inlineStr">
        <is>
          <t>Monthly volume above the floor needed for the target net revenue</t>
        </is>
      </c>
      <c r="B17" s="10">
        <f>in_P23*10000000/B14/10000000</f>
        <v/>
      </c>
      <c r="C17" t="inlineStr">
        <is>
          <t>INR crore</t>
        </is>
      </c>
      <c r="D17" s="1" t="inlineStr">
        <is>
          <t>Rs 1 cr of net revenue at the net take rate</t>
        </is>
      </c>
      <c r="E17" t="inlineStr">
        <is>
          <t>P23</t>
        </is>
      </c>
      <c r="F17" s="1" t="inlineStr"/>
    </row>
    <row r="18">
      <c r="A18" s="9" t="inlineStr">
        <is>
          <t>Listed comparators</t>
        </is>
      </c>
    </row>
    <row r="19">
      <c r="A19" s="1" t="inlineStr">
        <is>
          <t>Paytm Q1 FY27 PAT margin</t>
        </is>
      </c>
      <c r="B19" s="12">
        <f>in_P14/in_P13</f>
        <v/>
      </c>
      <c r="C19" t="inlineStr">
        <is>
          <t>share of revenue</t>
        </is>
      </c>
      <c r="D19" s="1" t="inlineStr">
        <is>
          <t>Most revenue now from lending distribution and devices, not the rail</t>
        </is>
      </c>
      <c r="E19" t="inlineStr">
        <is>
          <t>P14, P13</t>
        </is>
      </c>
      <c r="F19" s="1" t="inlineStr"/>
    </row>
    <row r="20">
      <c r="A20" s="1" t="inlineStr">
        <is>
          <t>Pine Labs share price vs issue</t>
        </is>
      </c>
      <c r="B20" s="12">
        <f>in_P17/in_P16-1</f>
        <v/>
      </c>
      <c r="C20" t="inlineStr">
        <is>
          <t>share</t>
        </is>
      </c>
      <c r="D20" s="1" t="inlineStr"/>
      <c r="E20" t="inlineStr">
        <is>
          <t>P17, P16</t>
        </is>
      </c>
      <c r="F20" s="1" t="inlineStr"/>
    </row>
    <row r="21">
      <c r="A21" s="1" t="inlineStr">
        <is>
          <t>PhonePe FY26 loss</t>
        </is>
      </c>
      <c r="B21" s="10">
        <f>in_P18</f>
        <v/>
      </c>
      <c r="C21" t="inlineStr">
        <is>
          <t>INR crore</t>
        </is>
      </c>
      <c r="D21" s="1" t="inlineStr"/>
      <c r="E21" t="inlineStr">
        <is>
          <t>P18</t>
        </is>
      </c>
      <c r="F21" s="1" t="inlineStr"/>
    </row>
    <row r="22">
      <c r="A22" s="1" t="inlineStr">
        <is>
          <t>Top two apps' share of UPI volume, Aug 2026</t>
        </is>
      </c>
      <c r="B22" s="12">
        <f>in_P12a+in_P12b</f>
        <v/>
      </c>
      <c r="C22" t="inlineStr">
        <is>
          <t>share</t>
        </is>
      </c>
      <c r="D22" s="1" t="inlineStr"/>
      <c r="E22" t="inlineStr">
        <is>
          <t>P12a, P12b</t>
        </is>
      </c>
      <c r="F22" s="1" t="inlineStr"/>
    </row>
    <row r="23">
      <c r="A23" s="1" t="inlineStr">
        <is>
          <t>Top three apps' share</t>
        </is>
      </c>
      <c r="B23" s="12">
        <f>in_P12a+in_P12b+in_P12c</f>
        <v/>
      </c>
      <c r="C23" t="inlineStr">
        <is>
          <t>share</t>
        </is>
      </c>
      <c r="D23" s="1" t="inlineStr"/>
      <c r="E23" t="inlineStr">
        <is>
          <t>P12a, P12b, P12c</t>
        </is>
      </c>
      <c r="F23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48" customWidth="1" min="4" max="4"/>
    <col width="18" customWidth="1" min="5" max="5"/>
    <col width="60" customWidth="1" min="6" max="6"/>
  </cols>
  <sheetData>
    <row r="1">
      <c r="A1" s="8" t="inlineStr">
        <is>
          <t>Exhibit 2: the UPI merchant fee by ticket size</t>
        </is>
      </c>
    </row>
    <row r="2">
      <c r="A2" s="2" t="inlineStr">
        <is>
          <t>Pure arithmetic off the NPCI rule: rate P1, floor P2, cap P3.</t>
        </is>
      </c>
    </row>
    <row r="3"/>
    <row r="4">
      <c r="A4" s="3" t="inlineStr">
        <is>
          <t>Line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Excel formula (what it does)</t>
        </is>
      </c>
      <c r="E4" s="3" t="inlineStr">
        <is>
          <t>Inputs used</t>
        </is>
      </c>
      <c r="F4" s="3" t="inlineStr">
        <is>
          <t>Note</t>
        </is>
      </c>
    </row>
    <row r="5">
      <c r="A5" s="9" t="inlineStr">
        <is>
          <t>Fee by ticket</t>
        </is>
      </c>
    </row>
    <row r="6">
      <c r="A6" s="1" t="inlineStr">
        <is>
          <t>Rs 1,999</t>
        </is>
      </c>
      <c r="B6" s="11">
        <f>IF(in_G1&gt;in_P2,MIN(in_P1*in_G1,in_P3),0)</f>
        <v/>
      </c>
      <c r="C6" t="inlineStr">
        <is>
          <t>INR</t>
        </is>
      </c>
      <c r="D6" s="1" t="inlineStr"/>
      <c r="E6" t="inlineStr">
        <is>
          <t>G1, P2, P1, G1, P3</t>
        </is>
      </c>
      <c r="F6" s="1" t="inlineStr"/>
    </row>
    <row r="7">
      <c r="A7" s="1" t="inlineStr">
        <is>
          <t>Rs 2,000</t>
        </is>
      </c>
      <c r="B7" s="11">
        <f>IF(in_G2&gt;in_P2,MIN(in_P1*in_G2,in_P3),0)</f>
        <v/>
      </c>
      <c r="C7" t="inlineStr">
        <is>
          <t>INR</t>
        </is>
      </c>
      <c r="D7" s="1" t="inlineStr"/>
      <c r="E7" t="inlineStr">
        <is>
          <t>G2, P2, P1, G2, P3</t>
        </is>
      </c>
      <c r="F7" s="1" t="inlineStr"/>
    </row>
    <row r="8">
      <c r="A8" s="1" t="inlineStr">
        <is>
          <t>Rs 5,000</t>
        </is>
      </c>
      <c r="B8" s="11">
        <f>IF(in_G3&gt;in_P2,MIN(in_P1*in_G3,in_P3),0)</f>
        <v/>
      </c>
      <c r="C8" t="inlineStr">
        <is>
          <t>INR</t>
        </is>
      </c>
      <c r="D8" s="1" t="inlineStr"/>
      <c r="E8" t="inlineStr">
        <is>
          <t>G3, P2, P1, G3, P3</t>
        </is>
      </c>
      <c r="F8" s="1" t="inlineStr"/>
    </row>
    <row r="9">
      <c r="A9" s="1" t="inlineStr">
        <is>
          <t>Rs 10,000</t>
        </is>
      </c>
      <c r="B9" s="11">
        <f>IF(in_G4&gt;in_P2,MIN(in_P1*in_G4,in_P3),0)</f>
        <v/>
      </c>
      <c r="C9" t="inlineStr">
        <is>
          <t>INR</t>
        </is>
      </c>
      <c r="D9" s="1" t="inlineStr"/>
      <c r="E9" t="inlineStr">
        <is>
          <t>G4, P2, P1, G4, P3</t>
        </is>
      </c>
      <c r="F9" s="1" t="inlineStr"/>
    </row>
    <row r="10">
      <c r="A10" s="1" t="inlineStr">
        <is>
          <t>Rs 25,000</t>
        </is>
      </c>
      <c r="B10" s="11">
        <f>IF(in_G5&gt;in_P2,MIN(in_P1*in_G5,in_P3),0)</f>
        <v/>
      </c>
      <c r="C10" t="inlineStr">
        <is>
          <t>INR</t>
        </is>
      </c>
      <c r="D10" s="1" t="inlineStr"/>
      <c r="E10" t="inlineStr">
        <is>
          <t>G5, P2, P1, G5, P3</t>
        </is>
      </c>
      <c r="F10" s="1" t="inlineStr"/>
    </row>
    <row r="11">
      <c r="A11" s="1" t="inlineStr">
        <is>
          <t>Rs 50,000</t>
        </is>
      </c>
      <c r="B11" s="11">
        <f>IF(in_G6&gt;in_P2,MIN(in_P1*in_G6,in_P3),0)</f>
        <v/>
      </c>
      <c r="C11" t="inlineStr">
        <is>
          <t>INR</t>
        </is>
      </c>
      <c r="D11" s="1" t="inlineStr"/>
      <c r="E11" t="inlineStr">
        <is>
          <t>G6, P2, P1, G6, P3</t>
        </is>
      </c>
      <c r="F11" s="1" t="inlineStr"/>
    </row>
    <row r="12">
      <c r="A12" s="1" t="inlineStr">
        <is>
          <t>Rs 75,000</t>
        </is>
      </c>
      <c r="B12" s="11">
        <f>IF(in_G7&gt;in_P2,MIN(in_P1*in_G7,in_P3),0)</f>
        <v/>
      </c>
      <c r="C12" t="inlineStr">
        <is>
          <t>INR</t>
        </is>
      </c>
      <c r="D12" s="1" t="inlineStr"/>
      <c r="E12" t="inlineStr">
        <is>
          <t>G7, P2, P1, G7, P3</t>
        </is>
      </c>
      <c r="F12" s="1" t="inlineStr"/>
    </row>
    <row r="13">
      <c r="A13" s="1" t="inlineStr">
        <is>
          <t>Rs 1,50,000</t>
        </is>
      </c>
      <c r="B13" s="11">
        <f>IF(in_G8&gt;in_P2,MIN(in_P1*in_G8,in_P3),0)</f>
        <v/>
      </c>
      <c r="C13" t="inlineStr">
        <is>
          <t>INR</t>
        </is>
      </c>
      <c r="D13" s="1" t="inlineStr"/>
      <c r="E13" t="inlineStr">
        <is>
          <t>G8, P2, P1, G8, P3</t>
        </is>
      </c>
      <c r="F13" s="1" t="inlineStr"/>
    </row>
    <row r="14">
      <c r="A14" s="1" t="inlineStr">
        <is>
          <t>Rs 3,00,000</t>
        </is>
      </c>
      <c r="B14" s="11">
        <f>IF(in_G9&gt;in_P2,MIN(in_P1*in_G9,in_P3),0)</f>
        <v/>
      </c>
      <c r="C14" t="inlineStr">
        <is>
          <t>INR</t>
        </is>
      </c>
      <c r="D14" s="1" t="inlineStr"/>
      <c r="E14" t="inlineStr">
        <is>
          <t>G9, P2, P1, G9, P3</t>
        </is>
      </c>
      <c r="F14" s="1" t="inlineStr"/>
    </row>
    <row r="15">
      <c r="A15" s="9" t="inlineStr">
        <is>
          <t>Effective rate by ticket</t>
        </is>
      </c>
    </row>
    <row r="16">
      <c r="A16" s="1" t="inlineStr">
        <is>
          <t>Rs 1,999</t>
        </is>
      </c>
      <c r="B16" s="12">
        <f>B6/in_G1</f>
        <v/>
      </c>
      <c r="C16" t="inlineStr">
        <is>
          <t>share</t>
        </is>
      </c>
      <c r="D16" s="1" t="inlineStr"/>
      <c r="E16" t="inlineStr">
        <is>
          <t>G1</t>
        </is>
      </c>
      <c r="F16" s="1" t="inlineStr"/>
    </row>
    <row r="17">
      <c r="A17" s="1" t="inlineStr">
        <is>
          <t>Rs 2,000</t>
        </is>
      </c>
      <c r="B17" s="12">
        <f>B7/in_G2</f>
        <v/>
      </c>
      <c r="C17" t="inlineStr">
        <is>
          <t>share</t>
        </is>
      </c>
      <c r="D17" s="1" t="inlineStr"/>
      <c r="E17" t="inlineStr">
        <is>
          <t>G2</t>
        </is>
      </c>
      <c r="F17" s="1" t="inlineStr"/>
    </row>
    <row r="18">
      <c r="A18" s="1" t="inlineStr">
        <is>
          <t>Rs 5,000</t>
        </is>
      </c>
      <c r="B18" s="12">
        <f>B8/in_G3</f>
        <v/>
      </c>
      <c r="C18" t="inlineStr">
        <is>
          <t>share</t>
        </is>
      </c>
      <c r="D18" s="1" t="inlineStr"/>
      <c r="E18" t="inlineStr">
        <is>
          <t>G3</t>
        </is>
      </c>
      <c r="F18" s="1" t="inlineStr"/>
    </row>
    <row r="19">
      <c r="A19" s="1" t="inlineStr">
        <is>
          <t>Rs 10,000</t>
        </is>
      </c>
      <c r="B19" s="12">
        <f>B9/in_G4</f>
        <v/>
      </c>
      <c r="C19" t="inlineStr">
        <is>
          <t>share</t>
        </is>
      </c>
      <c r="D19" s="1" t="inlineStr"/>
      <c r="E19" t="inlineStr">
        <is>
          <t>G4</t>
        </is>
      </c>
      <c r="F19" s="1" t="inlineStr"/>
    </row>
    <row r="20">
      <c r="A20" s="1" t="inlineStr">
        <is>
          <t>Rs 25,000</t>
        </is>
      </c>
      <c r="B20" s="12">
        <f>B10/in_G5</f>
        <v/>
      </c>
      <c r="C20" t="inlineStr">
        <is>
          <t>share</t>
        </is>
      </c>
      <c r="D20" s="1" t="inlineStr"/>
      <c r="E20" t="inlineStr">
        <is>
          <t>G5</t>
        </is>
      </c>
      <c r="F20" s="1" t="inlineStr"/>
    </row>
    <row r="21">
      <c r="A21" s="1" t="inlineStr">
        <is>
          <t>Rs 50,000</t>
        </is>
      </c>
      <c r="B21" s="12">
        <f>B11/in_G6</f>
        <v/>
      </c>
      <c r="C21" t="inlineStr">
        <is>
          <t>share</t>
        </is>
      </c>
      <c r="D21" s="1" t="inlineStr"/>
      <c r="E21" t="inlineStr">
        <is>
          <t>G6</t>
        </is>
      </c>
      <c r="F21" s="1" t="inlineStr"/>
    </row>
    <row r="22">
      <c r="A22" s="1" t="inlineStr">
        <is>
          <t>Rs 75,000</t>
        </is>
      </c>
      <c r="B22" s="12">
        <f>B12/in_G7</f>
        <v/>
      </c>
      <c r="C22" t="inlineStr">
        <is>
          <t>share</t>
        </is>
      </c>
      <c r="D22" s="1" t="inlineStr"/>
      <c r="E22" t="inlineStr">
        <is>
          <t>G7</t>
        </is>
      </c>
      <c r="F22" s="1" t="inlineStr"/>
    </row>
    <row r="23">
      <c r="A23" s="1" t="inlineStr">
        <is>
          <t>Rs 1,50,000</t>
        </is>
      </c>
      <c r="B23" s="12">
        <f>B13/in_G8</f>
        <v/>
      </c>
      <c r="C23" t="inlineStr">
        <is>
          <t>share</t>
        </is>
      </c>
      <c r="D23" s="1" t="inlineStr"/>
      <c r="E23" t="inlineStr">
        <is>
          <t>G8</t>
        </is>
      </c>
      <c r="F23" s="1" t="inlineStr"/>
    </row>
    <row r="24">
      <c r="A24" s="1" t="inlineStr">
        <is>
          <t>Rs 3,00,000</t>
        </is>
      </c>
      <c r="B24" s="12">
        <f>B14/in_G9</f>
        <v/>
      </c>
      <c r="C24" t="inlineStr">
        <is>
          <t>share</t>
        </is>
      </c>
      <c r="D24" s="1" t="inlineStr"/>
      <c r="E24" t="inlineStr">
        <is>
          <t>G9</t>
        </is>
      </c>
      <c r="F24" s="1" t="inlineStr"/>
    </row>
    <row r="25">
      <c r="A25" s="1" t="inlineStr">
        <is>
          <t>Ticket at which the cap binds</t>
        </is>
      </c>
      <c r="B25" s="10">
        <f>in_P3/in_P1</f>
        <v/>
      </c>
      <c r="C25" t="inlineStr">
        <is>
          <t>INR</t>
        </is>
      </c>
      <c r="D25" s="1" t="inlineStr"/>
      <c r="E25" t="inlineStr">
        <is>
          <t>P3, P1</t>
        </is>
      </c>
      <c r="F25" s="1" t="inlineStr"/>
    </row>
    <row r="26"/>
    <row r="27"/>
    <row r="28">
      <c r="A28" s="9" t="inlineStr">
        <is>
          <t>Effective UPI merchant fee by ticket size (share of value)</t>
        </is>
      </c>
    </row>
    <row r="29">
      <c r="A29" s="3" t="inlineStr">
        <is>
          <t>Category</t>
        </is>
      </c>
      <c r="B29" s="3" t="inlineStr">
        <is>
          <t>Effective rate</t>
        </is>
      </c>
    </row>
    <row r="30">
      <c r="A30" t="inlineStr">
        <is>
          <t>1,999</t>
        </is>
      </c>
      <c r="B30" s="13">
        <f>B16</f>
        <v/>
      </c>
    </row>
    <row r="31">
      <c r="A31" t="inlineStr">
        <is>
          <t>2,000</t>
        </is>
      </c>
      <c r="B31" s="13">
        <f>B17</f>
        <v/>
      </c>
    </row>
    <row r="32">
      <c r="A32" t="inlineStr">
        <is>
          <t>5,000</t>
        </is>
      </c>
      <c r="B32" s="13">
        <f>B18</f>
        <v/>
      </c>
    </row>
    <row r="33">
      <c r="A33" t="inlineStr">
        <is>
          <t>10,000</t>
        </is>
      </c>
      <c r="B33" s="13">
        <f>B19</f>
        <v/>
      </c>
    </row>
    <row r="34">
      <c r="A34" t="inlineStr">
        <is>
          <t>25,000</t>
        </is>
      </c>
      <c r="B34" s="13">
        <f>B20</f>
        <v/>
      </c>
    </row>
    <row r="35">
      <c r="A35" t="inlineStr">
        <is>
          <t>50,000</t>
        </is>
      </c>
      <c r="B35" s="13">
        <f>B21</f>
        <v/>
      </c>
    </row>
    <row r="36">
      <c r="A36" t="inlineStr">
        <is>
          <t>75,000</t>
        </is>
      </c>
      <c r="B36" s="13">
        <f>B22</f>
        <v/>
      </c>
    </row>
    <row r="37">
      <c r="A37" t="inlineStr">
        <is>
          <t>1,50,000</t>
        </is>
      </c>
      <c r="B37" s="13">
        <f>B23</f>
        <v/>
      </c>
    </row>
    <row r="38">
      <c r="A38" t="inlineStr">
        <is>
          <t>3,00,000</t>
        </is>
      </c>
      <c r="B38" s="13">
        <f>B24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48" customWidth="1" min="4" max="4"/>
    <col width="18" customWidth="1" min="5" max="5"/>
    <col width="60" customWidth="1" min="6" max="6"/>
  </cols>
  <sheetData>
    <row r="1">
      <c r="A1" s="8" t="inlineStr">
        <is>
          <t>F2 Lending: Rs 100 of loans on the lender's own book, one year</t>
        </is>
      </c>
    </row>
    <row r="2">
      <c r="A2" s="2" t="inlineStr">
        <is>
          <t>Ladder: yield, less cost of funds, less credit cost, less operating cost, equals return on assets.</t>
        </is>
      </c>
    </row>
    <row r="3"/>
    <row r="4">
      <c r="A4" s="3" t="inlineStr">
        <is>
          <t>Line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Excel formula (what it does)</t>
        </is>
      </c>
      <c r="E4" s="3" t="inlineStr">
        <is>
          <t>Inputs used</t>
        </is>
      </c>
      <c r="F4" s="3" t="inlineStr">
        <is>
          <t>Note</t>
        </is>
      </c>
    </row>
    <row r="5">
      <c r="A5" s="9" t="inlineStr">
        <is>
          <t>Bajaj Finance (AAA, FY26; yield, credit cost and opex are assumption ranges until FY26 figures are verified)</t>
        </is>
      </c>
    </row>
    <row r="6">
      <c r="A6" s="1" t="inlineStr">
        <is>
          <t>Yield</t>
        </is>
      </c>
      <c r="B6" s="12">
        <f>in_L2</f>
        <v/>
      </c>
      <c r="C6" t="inlineStr">
        <is>
          <t>share</t>
        </is>
      </c>
      <c r="D6" s="1" t="inlineStr"/>
      <c r="E6" t="inlineStr">
        <is>
          <t>L2</t>
        </is>
      </c>
      <c r="F6" s="1" t="inlineStr"/>
    </row>
    <row r="7">
      <c r="A7" s="1" t="inlineStr">
        <is>
          <t>Cost of funds</t>
        </is>
      </c>
      <c r="B7" s="12">
        <f>in_L1</f>
        <v/>
      </c>
      <c r="C7" t="inlineStr">
        <is>
          <t>share</t>
        </is>
      </c>
      <c r="D7" s="1" t="inlineStr"/>
      <c r="E7" t="inlineStr">
        <is>
          <t>L1</t>
        </is>
      </c>
      <c r="F7" s="1" t="inlineStr"/>
    </row>
    <row r="8">
      <c r="A8" s="1" t="inlineStr">
        <is>
          <t>Credit cost</t>
        </is>
      </c>
      <c r="B8" s="12">
        <f>in_L3</f>
        <v/>
      </c>
      <c r="C8" t="inlineStr">
        <is>
          <t>share</t>
        </is>
      </c>
      <c r="D8" s="1" t="inlineStr"/>
      <c r="E8" t="inlineStr">
        <is>
          <t>L3</t>
        </is>
      </c>
      <c r="F8" s="1" t="inlineStr"/>
    </row>
    <row r="9">
      <c r="A9" s="1" t="inlineStr">
        <is>
          <t>Operating cost to assets</t>
        </is>
      </c>
      <c r="B9" s="12">
        <f>in_L4</f>
        <v/>
      </c>
      <c r="C9" t="inlineStr">
        <is>
          <t>share</t>
        </is>
      </c>
      <c r="D9" s="1" t="inlineStr"/>
      <c r="E9" t="inlineStr">
        <is>
          <t>L4</t>
        </is>
      </c>
      <c r="F9" s="1" t="inlineStr"/>
    </row>
    <row r="10">
      <c r="A10" s="1" t="inlineStr">
        <is>
          <t>Return on assets (pre-tax, simplified)</t>
        </is>
      </c>
      <c r="B10" s="12">
        <f>B6-B7-B8-B9</f>
        <v/>
      </c>
      <c r="C10" t="inlineStr">
        <is>
          <t>share</t>
        </is>
      </c>
      <c r="D10" s="1" t="inlineStr">
        <is>
          <t>Simplified: treats cost of funds as a share of assets</t>
        </is>
      </c>
      <c r="E10" t="inlineStr"/>
      <c r="F10" s="1" t="inlineStr"/>
    </row>
    <row r="11">
      <c r="A11" s="9" t="inlineStr">
        <is>
          <t>Small-ticket listed lender (Five Star or Aye Finance; assumption ranges)</t>
        </is>
      </c>
    </row>
    <row r="12">
      <c r="A12" s="1" t="inlineStr">
        <is>
          <t>Yield</t>
        </is>
      </c>
      <c r="B12" s="12">
        <f>in_L5</f>
        <v/>
      </c>
      <c r="C12" t="inlineStr">
        <is>
          <t>share</t>
        </is>
      </c>
      <c r="D12" s="1" t="inlineStr"/>
      <c r="E12" t="inlineStr">
        <is>
          <t>L5</t>
        </is>
      </c>
      <c r="F12" s="1" t="inlineStr"/>
    </row>
    <row r="13">
      <c r="A13" s="1" t="inlineStr">
        <is>
          <t>Cost of funds</t>
        </is>
      </c>
      <c r="B13" s="12">
        <f>in_L6</f>
        <v/>
      </c>
      <c r="C13" t="inlineStr">
        <is>
          <t>share</t>
        </is>
      </c>
      <c r="D13" s="1" t="inlineStr"/>
      <c r="E13" t="inlineStr">
        <is>
          <t>L6</t>
        </is>
      </c>
      <c r="F13" s="1" t="inlineStr"/>
    </row>
    <row r="14">
      <c r="A14" s="1" t="inlineStr">
        <is>
          <t>Credit cost</t>
        </is>
      </c>
      <c r="B14" s="12">
        <f>in_L7</f>
        <v/>
      </c>
      <c r="C14" t="inlineStr">
        <is>
          <t>share</t>
        </is>
      </c>
      <c r="D14" s="1" t="inlineStr"/>
      <c r="E14" t="inlineStr">
        <is>
          <t>L7</t>
        </is>
      </c>
      <c r="F14" s="1" t="inlineStr"/>
    </row>
    <row r="15">
      <c r="A15" s="1" t="inlineStr">
        <is>
          <t>Operating cost to assets</t>
        </is>
      </c>
      <c r="B15" s="12">
        <f>in_L8</f>
        <v/>
      </c>
      <c r="C15" t="inlineStr">
        <is>
          <t>share</t>
        </is>
      </c>
      <c r="D15" s="1" t="inlineStr"/>
      <c r="E15" t="inlineStr">
        <is>
          <t>L8</t>
        </is>
      </c>
      <c r="F15" s="1" t="inlineStr"/>
    </row>
    <row r="16">
      <c r="A16" s="1" t="inlineStr">
        <is>
          <t>Return on assets</t>
        </is>
      </c>
      <c r="B16" s="12">
        <f>B12-B13-B14-B15</f>
        <v/>
      </c>
      <c r="C16" t="inlineStr">
        <is>
          <t>share</t>
        </is>
      </c>
      <c r="D16" s="1" t="inlineStr"/>
      <c r="E16" t="inlineStr"/>
      <c r="F16" s="1" t="inlineStr"/>
    </row>
    <row r="17">
      <c r="A17" s="9" t="inlineStr">
        <is>
          <t>Pre-Series A lender, year one (assumptions)</t>
        </is>
      </c>
    </row>
    <row r="18">
      <c r="A18" s="1" t="inlineStr">
        <is>
          <t>Yield</t>
        </is>
      </c>
      <c r="B18" s="12">
        <f>in_L15</f>
        <v/>
      </c>
      <c r="C18" t="inlineStr">
        <is>
          <t>share</t>
        </is>
      </c>
      <c r="D18" s="1" t="inlineStr"/>
      <c r="E18" t="inlineStr">
        <is>
          <t>L15</t>
        </is>
      </c>
      <c r="F18" s="1" t="inlineStr"/>
    </row>
    <row r="19">
      <c r="A19" s="1" t="inlineStr">
        <is>
          <t>Cost of funds</t>
        </is>
      </c>
      <c r="B19" s="12">
        <f>in_L16</f>
        <v/>
      </c>
      <c r="C19" t="inlineStr">
        <is>
          <t>share</t>
        </is>
      </c>
      <c r="D19" s="1" t="inlineStr"/>
      <c r="E19" t="inlineStr">
        <is>
          <t>L16</t>
        </is>
      </c>
      <c r="F19" s="1" t="inlineStr"/>
    </row>
    <row r="20">
      <c r="A20" s="1" t="inlineStr">
        <is>
          <t>Credit cost</t>
        </is>
      </c>
      <c r="B20" s="12">
        <f>in_L17</f>
        <v/>
      </c>
      <c r="C20" t="inlineStr">
        <is>
          <t>share</t>
        </is>
      </c>
      <c r="D20" s="1" t="inlineStr"/>
      <c r="E20" t="inlineStr">
        <is>
          <t>L17</t>
        </is>
      </c>
      <c r="F20" s="1" t="inlineStr"/>
    </row>
    <row r="21">
      <c r="A21" s="1" t="inlineStr">
        <is>
          <t>Operating cost to assets</t>
        </is>
      </c>
      <c r="B21" s="12">
        <f>in_L18</f>
        <v/>
      </c>
      <c r="C21" t="inlineStr">
        <is>
          <t>share</t>
        </is>
      </c>
      <c r="D21" s="1" t="inlineStr"/>
      <c r="E21" t="inlineStr">
        <is>
          <t>L18</t>
        </is>
      </c>
      <c r="F21" s="1" t="inlineStr"/>
    </row>
    <row r="22">
      <c r="A22" s="1" t="inlineStr">
        <is>
          <t>Return on assets</t>
        </is>
      </c>
      <c r="B22" s="12">
        <f>B18-B19-B20-B21</f>
        <v/>
      </c>
      <c r="C22" t="inlineStr">
        <is>
          <t>share</t>
        </is>
      </c>
      <c r="D22" s="1" t="inlineStr"/>
      <c r="E22" t="inlineStr"/>
      <c r="F22" s="1" t="inlineStr"/>
    </row>
    <row r="23">
      <c r="A23" s="1" t="inlineStr">
        <is>
          <t>Return on assets, best case of the ranges</t>
        </is>
      </c>
      <c r="B23" s="12">
        <f>in_L15_hi-in_L16_lo-in_L17_lo-in_L18_lo</f>
        <v/>
      </c>
      <c r="C23" t="inlineStr">
        <is>
          <t>share</t>
        </is>
      </c>
      <c r="D23" s="1" t="inlineStr"/>
      <c r="E23" t="inlineStr">
        <is>
          <t>L15_hi, L16_lo, L17_lo, L18_lo</t>
        </is>
      </c>
      <c r="F23" s="1" t="inlineStr"/>
    </row>
    <row r="24">
      <c r="A24" s="1" t="inlineStr">
        <is>
          <t>Return on assets, worst case of the ranges</t>
        </is>
      </c>
      <c r="B24" s="12">
        <f>in_L15_lo-in_L16_hi-in_L17_hi-in_L18_hi</f>
        <v/>
      </c>
      <c r="C24" t="inlineStr">
        <is>
          <t>share</t>
        </is>
      </c>
      <c r="D24" s="1" t="inlineStr"/>
      <c r="E24" t="inlineStr">
        <is>
          <t>L15_lo, L16_hi, L17_hi, L18_hi</t>
        </is>
      </c>
      <c r="F24" s="1" t="inlineStr"/>
    </row>
    <row r="25">
      <c r="A25" s="9" t="inlineStr">
        <is>
          <t>Capital stack: what Rs 15 cr of equity supports</t>
        </is>
      </c>
    </row>
    <row r="26">
      <c r="A26" s="1" t="inlineStr">
        <is>
          <t>Equity at entry</t>
        </is>
      </c>
      <c r="B26" s="11">
        <f>in_L25</f>
        <v/>
      </c>
      <c r="C26" t="inlineStr">
        <is>
          <t>INR crore</t>
        </is>
      </c>
      <c r="D26" s="1" t="inlineStr"/>
      <c r="E26" t="inlineStr">
        <is>
          <t>L25</t>
        </is>
      </c>
      <c r="F26" s="1" t="inlineStr"/>
    </row>
    <row r="27">
      <c r="A27" s="1" t="inlineStr">
        <is>
          <t>Own book at the assumed debt to equity</t>
        </is>
      </c>
      <c r="B27" s="11">
        <f>B26*(1+in_L26)</f>
        <v/>
      </c>
      <c r="C27" t="inlineStr">
        <is>
          <t>INR crore</t>
        </is>
      </c>
      <c r="D27" s="1" t="inlineStr">
        <is>
          <t>Equity plus debt</t>
        </is>
      </c>
      <c r="E27" t="inlineStr">
        <is>
          <t>L26</t>
        </is>
      </c>
      <c r="F27" s="1" t="inlineStr"/>
    </row>
    <row r="28">
      <c r="A28" s="1" t="inlineStr">
        <is>
          <t>Co-lent book the same equity supports</t>
        </is>
      </c>
      <c r="B28" s="11">
        <f>B27/in_L19</f>
        <v/>
      </c>
      <c r="C28" t="inlineStr">
        <is>
          <t>INR crore</t>
        </is>
      </c>
      <c r="D28" s="1" t="inlineStr">
        <is>
          <t>Originator holds 10%; the bank funds the rest</t>
        </is>
      </c>
      <c r="E28" t="inlineStr">
        <is>
          <t>L19</t>
        </is>
      </c>
      <c r="F28" s="1" t="inlineStr"/>
    </row>
    <row r="29">
      <c r="A29" s="1" t="inlineStr">
        <is>
          <t>Year-one loss on the own book at the pre-Series A ROA</t>
        </is>
      </c>
      <c r="B29" s="11">
        <f>B27*B22</f>
        <v/>
      </c>
      <c r="C29" t="inlineStr">
        <is>
          <t>INR crore</t>
        </is>
      </c>
      <c r="D29" s="1" t="inlineStr">
        <is>
          <t>Negative = loss</t>
        </is>
      </c>
      <c r="E29" t="inlineStr"/>
      <c r="F29" s="1" t="inlineStr"/>
    </row>
    <row r="30">
      <c r="A30" s="1" t="inlineStr">
        <is>
          <t>Default loss guarantee the originator may give, as a share of the co-lent pool</t>
        </is>
      </c>
      <c r="B30" s="12">
        <f>in_L20</f>
        <v/>
      </c>
      <c r="C30" t="inlineStr">
        <is>
          <t>share</t>
        </is>
      </c>
      <c r="D30" s="1" t="inlineStr"/>
      <c r="E30" t="inlineStr">
        <is>
          <t>L20</t>
        </is>
      </c>
      <c r="F30" s="1" t="inlineStr"/>
    </row>
    <row r="31">
      <c r="A31" s="9" t="inlineStr">
        <is>
          <t>Thresholds (author's tests)</t>
        </is>
      </c>
    </row>
    <row r="32">
      <c r="A32" s="1" t="inlineStr">
        <is>
          <t>Cost of funds by year three</t>
        </is>
      </c>
      <c r="B32" s="12">
        <f>in_L27</f>
        <v/>
      </c>
      <c r="C32" t="inlineStr">
        <is>
          <t>share</t>
        </is>
      </c>
      <c r="D32" s="1" t="inlineStr"/>
      <c r="E32" t="inlineStr">
        <is>
          <t>L27</t>
        </is>
      </c>
      <c r="F32" s="1" t="inlineStr"/>
    </row>
    <row r="33">
      <c r="A33" s="1" t="inlineStr">
        <is>
          <t>Operating cost to assets by year three</t>
        </is>
      </c>
      <c r="B33" s="12">
        <f>in_L28</f>
        <v/>
      </c>
      <c r="C33" t="inlineStr">
        <is>
          <t>share</t>
        </is>
      </c>
      <c r="D33" s="1" t="inlineStr"/>
      <c r="E33" t="inlineStr">
        <is>
          <t>L28</t>
        </is>
      </c>
      <c r="F33" s="1" t="inlineStr"/>
    </row>
    <row r="34">
      <c r="A34" s="1" t="inlineStr">
        <is>
          <t>Credit cost on a 12-month vintage</t>
        </is>
      </c>
      <c r="B34" s="12">
        <f>in_L29</f>
        <v/>
      </c>
      <c r="C34" t="inlineStr">
        <is>
          <t>share</t>
        </is>
      </c>
      <c r="D34" s="1" t="inlineStr"/>
      <c r="E34" t="inlineStr">
        <is>
          <t>L29</t>
        </is>
      </c>
      <c r="F34" s="1" t="inlineStr"/>
    </row>
    <row r="35">
      <c r="A35" s="1" t="inlineStr">
        <is>
          <t>ROA if the three thresholds are met at the pre-Series A yield</t>
        </is>
      </c>
      <c r="B35" s="12">
        <f>B18-B32-B34-B33</f>
        <v/>
      </c>
      <c r="C35" t="inlineStr">
        <is>
          <t>share</t>
        </is>
      </c>
      <c r="D35" s="1" t="inlineStr"/>
      <c r="E35" t="inlineStr"/>
      <c r="F35" s="1" t="inlineStr"/>
    </row>
    <row r="36">
      <c r="A36" s="9" t="inlineStr">
        <is>
          <t>Named comparators</t>
        </is>
      </c>
    </row>
    <row r="37">
      <c r="A37" s="1" t="inlineStr">
        <is>
          <t>Moneyview cost of borrowings (FY25 and 9M FY26)</t>
        </is>
      </c>
      <c r="B37" s="12">
        <f>in_L9</f>
        <v/>
      </c>
      <c r="C37" t="inlineStr">
        <is>
          <t>share</t>
        </is>
      </c>
      <c r="D37" s="1" t="inlineStr"/>
      <c r="E37" t="inlineStr">
        <is>
          <t>L9</t>
        </is>
      </c>
      <c r="F37" s="1" t="inlineStr"/>
    </row>
    <row r="38">
      <c r="A38" s="1" t="inlineStr">
        <is>
          <t>Gap to Bajaj Finance</t>
        </is>
      </c>
      <c r="B38" s="12">
        <f>B37-in_L1</f>
        <v/>
      </c>
      <c r="C38" t="inlineStr">
        <is>
          <t>share</t>
        </is>
      </c>
      <c r="D38" s="1" t="inlineStr">
        <is>
          <t>Rating difference: A- against AAA</t>
        </is>
      </c>
      <c r="E38" t="inlineStr">
        <is>
          <t>L1</t>
        </is>
      </c>
      <c r="F38" s="1" t="inlineStr"/>
    </row>
    <row r="39">
      <c r="A39" s="1" t="inlineStr">
        <is>
          <t>Navi FY26 loss as a share of AUM</t>
        </is>
      </c>
      <c r="B39" s="12">
        <f>-in_L11/in_L12</f>
        <v/>
      </c>
      <c r="C39" t="inlineStr">
        <is>
          <t>share</t>
        </is>
      </c>
      <c r="D39" s="1" t="inlineStr"/>
      <c r="E39" t="inlineStr">
        <is>
          <t>L11, L12</t>
        </is>
      </c>
      <c r="F39" s="1" t="inlineStr"/>
    </row>
    <row r="40">
      <c r="A40" s="1" t="inlineStr">
        <is>
          <t>slice SFB Q1 FY27 profit (more than)</t>
        </is>
      </c>
      <c r="B40" s="11">
        <f>in_L13</f>
        <v/>
      </c>
      <c r="C40" t="inlineStr">
        <is>
          <t>INR crore</t>
        </is>
      </c>
      <c r="D40" s="1" t="inlineStr"/>
      <c r="E40" t="inlineStr">
        <is>
          <t>L13</t>
        </is>
      </c>
      <c r="F40" s="1" t="inlineStr"/>
    </row>
    <row r="41">
      <c r="A41" s="1" t="inlineStr">
        <is>
          <t>Suryoday and Paytm credit lines on UPI: drawn as a share of sanctioned</t>
        </is>
      </c>
      <c r="B41" s="12">
        <f>in_L31/in_L30</f>
        <v/>
      </c>
      <c r="C41" t="inlineStr">
        <is>
          <t>share</t>
        </is>
      </c>
      <c r="D41" s="1" t="inlineStr"/>
      <c r="E41" t="inlineStr">
        <is>
          <t>L31, L30</t>
        </is>
      </c>
      <c r="F41" s="1" t="inlineStr"/>
    </row>
    <row r="42">
      <c r="A42" s="1" t="inlineStr">
        <is>
          <t>Unsecured retail GNPA against secured</t>
        </is>
      </c>
      <c r="B42" s="14">
        <f>in_L21/in_L22</f>
        <v/>
      </c>
      <c r="C42" t="inlineStr">
        <is>
          <t>x</t>
        </is>
      </c>
      <c r="D42" s="1" t="inlineStr">
        <is>
          <t>Banks, Mar 2026</t>
        </is>
      </c>
      <c r="E42" t="inlineStr">
        <is>
          <t>L21, L22</t>
        </is>
      </c>
      <c r="F42" s="1" t="inlineStr"/>
    </row>
    <row r="43"/>
    <row r="44"/>
    <row r="45">
      <c r="A45" s="9" t="inlineStr">
        <is>
          <t>Return on assets: four lenders</t>
        </is>
      </c>
    </row>
    <row r="46">
      <c r="A46" s="3" t="inlineStr">
        <is>
          <t>Category</t>
        </is>
      </c>
      <c r="B46" s="3" t="inlineStr">
        <is>
          <t>ROA</t>
        </is>
      </c>
    </row>
    <row r="47">
      <c r="A47" t="inlineStr">
        <is>
          <t>Bajaj Finance</t>
        </is>
      </c>
      <c r="B47" s="13">
        <f>B10</f>
        <v/>
      </c>
    </row>
    <row r="48">
      <c r="A48" t="inlineStr">
        <is>
          <t>Small-ticket listed</t>
        </is>
      </c>
      <c r="B48" s="13">
        <f>B16</f>
        <v/>
      </c>
    </row>
    <row r="49">
      <c r="A49" t="inlineStr">
        <is>
          <t>Pre-Series A, year one</t>
        </is>
      </c>
      <c r="B49" s="13">
        <f>B22</f>
        <v/>
      </c>
    </row>
    <row r="50">
      <c r="A50" t="inlineStr">
        <is>
          <t>Pre-Series A at thresholds</t>
        </is>
      </c>
      <c r="B50" s="13">
        <f>B23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48" customWidth="1" min="4" max="4"/>
    <col width="18" customWidth="1" min="5" max="5"/>
    <col width="60" customWidth="1" min="6" max="6"/>
  </cols>
  <sheetData>
    <row r="1">
      <c r="A1" s="8" t="inlineStr">
        <is>
          <t>F3 Insurance: a Rs 20,000 individual health policy sold online</t>
        </is>
      </c>
    </row>
    <row r="2">
      <c r="A2" s="2" t="inlineStr">
        <is>
          <t>Distributor earns a commission the regulator proposed to cap on 23 Sep 2026; the carrier earns premium less claims.</t>
        </is>
      </c>
    </row>
    <row r="3"/>
    <row r="4">
      <c r="A4" s="3" t="inlineStr">
        <is>
          <t>Line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Excel formula (what it does)</t>
        </is>
      </c>
      <c r="E4" s="3" t="inlineStr">
        <is>
          <t>Inputs used</t>
        </is>
      </c>
      <c r="F4" s="3" t="inlineStr">
        <is>
          <t>Note</t>
        </is>
      </c>
    </row>
    <row r="5">
      <c r="A5" s="9" t="inlineStr">
        <is>
          <t>Distributor</t>
        </is>
      </c>
    </row>
    <row r="6">
      <c r="A6" s="1" t="inlineStr">
        <is>
          <t>Premium</t>
        </is>
      </c>
      <c r="B6" s="11">
        <f>in_I1</f>
        <v/>
      </c>
      <c r="C6" t="inlineStr">
        <is>
          <t>INR</t>
        </is>
      </c>
      <c r="D6" s="1" t="inlineStr"/>
      <c r="E6" t="inlineStr">
        <is>
          <t>I1</t>
        </is>
      </c>
      <c r="F6" s="1" t="inlineStr"/>
    </row>
    <row r="7">
      <c r="A7" s="1" t="inlineStr">
        <is>
          <t>First-year commission</t>
        </is>
      </c>
      <c r="B7" s="11">
        <f>B6*in_I2</f>
        <v/>
      </c>
      <c r="C7" t="inlineStr">
        <is>
          <t>INR</t>
        </is>
      </c>
      <c r="D7" s="1" t="inlineStr"/>
      <c r="E7" t="inlineStr">
        <is>
          <t>I2</t>
        </is>
      </c>
      <c r="F7" s="1" t="inlineStr"/>
    </row>
    <row r="8">
      <c r="A8" s="1" t="inlineStr">
        <is>
          <t>Marketing and partner payouts</t>
        </is>
      </c>
      <c r="B8" s="11">
        <f>B7*in_I5</f>
        <v/>
      </c>
      <c r="C8" t="inlineStr">
        <is>
          <t>INR</t>
        </is>
      </c>
      <c r="D8" s="1" t="inlineStr"/>
      <c r="E8" t="inlineStr">
        <is>
          <t>I5</t>
        </is>
      </c>
      <c r="F8" s="1" t="inlineStr"/>
    </row>
    <row r="9">
      <c r="A9" s="1" t="inlineStr">
        <is>
          <t>Year-one contribution before servicing</t>
        </is>
      </c>
      <c r="B9" s="11">
        <f>B7-B8</f>
        <v/>
      </c>
      <c r="C9" t="inlineStr">
        <is>
          <t>INR</t>
        </is>
      </c>
      <c r="D9" s="1" t="inlineStr"/>
      <c r="E9" t="inlineStr"/>
      <c r="F9" s="1" t="inlineStr"/>
    </row>
    <row r="10">
      <c r="A10" s="1" t="inlineStr">
        <is>
          <t>Year-two commission per original policy (renewal x persistency)</t>
        </is>
      </c>
      <c r="B10" s="11">
        <f>B6*in_I3*in_I4</f>
        <v/>
      </c>
      <c r="C10" t="inlineStr">
        <is>
          <t>INR</t>
        </is>
      </c>
      <c r="D10" s="1" t="inlineStr"/>
      <c r="E10" t="inlineStr">
        <is>
          <t>I3, I4</t>
        </is>
      </c>
      <c r="F10" s="1" t="inlineStr"/>
    </row>
    <row r="11">
      <c r="A11" s="1" t="inlineStr">
        <is>
          <t>Year-three commission per original policy</t>
        </is>
      </c>
      <c r="B11" s="11">
        <f>B6*in_I3*in_I4^2</f>
        <v/>
      </c>
      <c r="C11" t="inlineStr">
        <is>
          <t>INR</t>
        </is>
      </c>
      <c r="D11" s="1" t="inlineStr"/>
      <c r="E11" t="inlineStr">
        <is>
          <t>I3, I4</t>
        </is>
      </c>
      <c r="F11" s="1" t="inlineStr"/>
    </row>
    <row r="12">
      <c r="A12" s="1" t="inlineStr">
        <is>
          <t>Renewal commission as a share of three-year commission</t>
        </is>
      </c>
      <c r="B12" s="12">
        <f>(B10+B6*in_I3*in_I4^2)/(B7+B10+B6*in_I3*in_I4^2)</f>
        <v/>
      </c>
      <c r="C12" t="inlineStr">
        <is>
          <t>share</t>
        </is>
      </c>
      <c r="D12" s="1" t="inlineStr">
        <is>
          <t>Test: above 50% within three years</t>
        </is>
      </c>
      <c r="E12" t="inlineStr">
        <is>
          <t>I3, I4, I3, I4</t>
        </is>
      </c>
      <c r="F12" s="1" t="inlineStr"/>
    </row>
    <row r="13">
      <c r="A13" s="9" t="inlineStr">
        <is>
          <t>Carrier and market</t>
        </is>
      </c>
    </row>
    <row r="14">
      <c r="A14" s="1" t="inlineStr">
        <is>
          <t>PB Fintech Q1 FY27 PAT</t>
        </is>
      </c>
      <c r="B14" s="11">
        <f>in_I6</f>
        <v/>
      </c>
      <c r="C14" t="inlineStr">
        <is>
          <t>INR crore</t>
        </is>
      </c>
      <c r="D14" s="1" t="inlineStr"/>
      <c r="E14" t="inlineStr">
        <is>
          <t>I6</t>
        </is>
      </c>
      <c r="F14" s="1" t="inlineStr"/>
    </row>
    <row r="15">
      <c r="A15" s="1" t="inlineStr">
        <is>
          <t>PB Fintech fall after the IRDAI paper</t>
        </is>
      </c>
      <c r="B15" s="12">
        <f>in_I7</f>
        <v/>
      </c>
      <c r="C15" t="inlineStr">
        <is>
          <t>share</t>
        </is>
      </c>
      <c r="D15" s="1" t="inlineStr"/>
      <c r="E15" t="inlineStr">
        <is>
          <t>I7</t>
        </is>
      </c>
      <c r="F15" s="1" t="inlineStr"/>
    </row>
    <row r="16">
      <c r="A16" s="1" t="inlineStr">
        <is>
          <t>Go Digit PAT change, Q1 FY27</t>
        </is>
      </c>
      <c r="B16" s="12">
        <f>in_I8</f>
        <v/>
      </c>
      <c r="C16" t="inlineStr">
        <is>
          <t>share</t>
        </is>
      </c>
      <c r="D16" s="1" t="inlineStr"/>
      <c r="E16" t="inlineStr">
        <is>
          <t>I8</t>
        </is>
      </c>
      <c r="F16" s="1" t="inlineStr"/>
    </row>
    <row r="17">
      <c r="A17" s="1" t="inlineStr">
        <is>
          <t>Individual health premium growth after GST exemption</t>
        </is>
      </c>
      <c r="B17" s="12">
        <f>in_I11</f>
        <v/>
      </c>
      <c r="C17" t="inlineStr">
        <is>
          <t>share</t>
        </is>
      </c>
      <c r="D17" s="1" t="inlineStr"/>
      <c r="E17" t="inlineStr">
        <is>
          <t>I11</t>
        </is>
      </c>
      <c r="F17" s="1" t="inlineStr"/>
    </row>
    <row r="18">
      <c r="A18" s="1" t="inlineStr">
        <is>
          <t>Turtlemint price vs issue</t>
        </is>
      </c>
      <c r="B18" s="12">
        <f>in_I16/in_I15-1</f>
        <v/>
      </c>
      <c r="C18" t="inlineStr">
        <is>
          <t>share</t>
        </is>
      </c>
      <c r="D18" s="1" t="inlineStr"/>
      <c r="E18" t="inlineStr">
        <is>
          <t>I16, I15</t>
        </is>
      </c>
      <c r="F18" s="1" t="inlineStr"/>
    </row>
    <row r="19">
      <c r="A19" s="9" t="inlineStr">
        <is>
          <t>Claims software</t>
        </is>
      </c>
    </row>
    <row r="20">
      <c r="A20" s="1" t="inlineStr">
        <is>
          <t>Price per claim</t>
        </is>
      </c>
      <c r="B20" s="11">
        <f>in_I13</f>
        <v/>
      </c>
      <c r="C20" t="inlineStr">
        <is>
          <t>INR</t>
        </is>
      </c>
      <c r="D20" s="1" t="inlineStr"/>
      <c r="E20" t="inlineStr">
        <is>
          <t>I13</t>
        </is>
      </c>
      <c r="F20" s="1" t="inlineStr"/>
    </row>
    <row r="21">
      <c r="A21" s="1" t="inlineStr">
        <is>
          <t>Insurer's own cost per claim</t>
        </is>
      </c>
      <c r="B21" s="11">
        <f>in_I14</f>
        <v/>
      </c>
      <c r="C21" t="inlineStr">
        <is>
          <t>INR</t>
        </is>
      </c>
      <c r="D21" s="1" t="inlineStr"/>
      <c r="E21" t="inlineStr">
        <is>
          <t>I14</t>
        </is>
      </c>
      <c r="F21" s="1" t="inlineStr"/>
    </row>
    <row r="22">
      <c r="A22" s="1" t="inlineStr">
        <is>
          <t>Saving per claim for the insurer</t>
        </is>
      </c>
      <c r="B22" s="11">
        <f>B21-B20</f>
        <v/>
      </c>
      <c r="C22" t="inlineStr">
        <is>
          <t>INR</t>
        </is>
      </c>
      <c r="D22" s="1" t="inlineStr"/>
      <c r="E22" t="inlineStr"/>
      <c r="F22" s="1" t="inlineStr"/>
    </row>
    <row r="23">
      <c r="A23" s="1" t="inlineStr">
        <is>
          <t>Price as a share of the insurer's cost</t>
        </is>
      </c>
      <c r="B23" s="12">
        <f>B20/B21</f>
        <v/>
      </c>
      <c r="C23" t="inlineStr">
        <is>
          <t>share</t>
        </is>
      </c>
      <c r="D23" s="1" t="inlineStr">
        <is>
          <t>Test: well under 1</t>
        </is>
      </c>
      <c r="E23" t="inlineStr"/>
      <c r="F23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48" customWidth="1" min="4" max="4"/>
    <col width="18" customWidth="1" min="5" max="5"/>
    <col width="60" customWidth="1" min="6" max="6"/>
  </cols>
  <sheetData>
    <row r="1">
      <c r="A1" s="8" t="inlineStr">
        <is>
          <t>F4 Wealth: one investor with Rs 5 lakh</t>
        </is>
      </c>
    </row>
    <row r="2">
      <c r="A2" s="2" t="inlineStr">
        <is>
          <t>Revenue per rupee of assets by model; the test is 0.6% of assets a year, recurring, with acquisition paid back in 18 months.</t>
        </is>
      </c>
    </row>
    <row r="3"/>
    <row r="4">
      <c r="A4" s="3" t="inlineStr">
        <is>
          <t>Line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Excel formula (what it does)</t>
        </is>
      </c>
      <c r="E4" s="3" t="inlineStr">
        <is>
          <t>Inputs used</t>
        </is>
      </c>
      <c r="F4" s="3" t="inlineStr">
        <is>
          <t>Note</t>
        </is>
      </c>
    </row>
    <row r="5">
      <c r="A5" s="9" t="inlineStr">
        <is>
          <t>Revenue per year on the example assets</t>
        </is>
      </c>
    </row>
    <row r="6">
      <c r="A6" s="1" t="inlineStr">
        <is>
          <t>Assets</t>
        </is>
      </c>
      <c r="B6" s="10">
        <f>in_W1</f>
        <v/>
      </c>
      <c r="C6" t="inlineStr">
        <is>
          <t>INR</t>
        </is>
      </c>
      <c r="D6" s="1" t="inlineStr"/>
      <c r="E6" t="inlineStr">
        <is>
          <t>W1</t>
        </is>
      </c>
      <c r="F6" s="1" t="inlineStr"/>
    </row>
    <row r="7">
      <c r="A7" s="1" t="inlineStr">
        <is>
          <t>Trail commission (regular-plan distribution)</t>
        </is>
      </c>
      <c r="B7" s="11">
        <f>B6*in_W2</f>
        <v/>
      </c>
      <c r="C7" t="inlineStr">
        <is>
          <t>INR</t>
        </is>
      </c>
      <c r="D7" s="1" t="inlineStr"/>
      <c r="E7" t="inlineStr">
        <is>
          <t>W2</t>
        </is>
      </c>
      <c r="F7" s="1" t="inlineStr"/>
    </row>
    <row r="8">
      <c r="A8" s="1" t="inlineStr">
        <is>
          <t>Advisory fee on assets</t>
        </is>
      </c>
      <c r="B8" s="11">
        <f>B6*in_W3</f>
        <v/>
      </c>
      <c r="C8" t="inlineStr">
        <is>
          <t>INR</t>
        </is>
      </c>
      <c r="D8" s="1" t="inlineStr"/>
      <c r="E8" t="inlineStr">
        <is>
          <t>W3</t>
        </is>
      </c>
      <c r="F8" s="1" t="inlineStr"/>
    </row>
    <row r="9">
      <c r="A9" s="1" t="inlineStr">
        <is>
          <t>Alternatives manufacturing fee</t>
        </is>
      </c>
      <c r="B9" s="11">
        <f>B6*in_W5</f>
        <v/>
      </c>
      <c r="C9" t="inlineStr">
        <is>
          <t>INR</t>
        </is>
      </c>
      <c r="D9" s="1" t="inlineStr"/>
      <c r="E9" t="inlineStr">
        <is>
          <t>W5</t>
        </is>
      </c>
      <c r="F9" s="1" t="inlineStr"/>
    </row>
    <row r="10">
      <c r="A10" s="9" t="inlineStr">
        <is>
          <t>Acquisition payback (months)</t>
        </is>
      </c>
    </row>
    <row r="11">
      <c r="A11" s="1" t="inlineStr">
        <is>
          <t>Distribution</t>
        </is>
      </c>
      <c r="B11" s="14">
        <f>in_W4/(B7/12)</f>
        <v/>
      </c>
      <c r="C11" t="inlineStr">
        <is>
          <t>months</t>
        </is>
      </c>
      <c r="D11" s="1" t="inlineStr"/>
      <c r="E11" t="inlineStr">
        <is>
          <t>W4</t>
        </is>
      </c>
      <c r="F11" s="1" t="inlineStr"/>
    </row>
    <row r="12">
      <c r="A12" s="1" t="inlineStr">
        <is>
          <t>Advice</t>
        </is>
      </c>
      <c r="B12" s="14">
        <f>in_W4/(B8/12)</f>
        <v/>
      </c>
      <c r="C12" t="inlineStr">
        <is>
          <t>months</t>
        </is>
      </c>
      <c r="D12" s="1" t="inlineStr"/>
      <c r="E12" t="inlineStr">
        <is>
          <t>W4</t>
        </is>
      </c>
      <c r="F12" s="1" t="inlineStr"/>
    </row>
    <row r="13">
      <c r="A13" s="1" t="inlineStr">
        <is>
          <t>Alternatives</t>
        </is>
      </c>
      <c r="B13" s="14">
        <f>in_W4/(B9/12)</f>
        <v/>
      </c>
      <c r="C13" t="inlineStr">
        <is>
          <t>months</t>
        </is>
      </c>
      <c r="D13" s="1" t="inlineStr"/>
      <c r="E13" t="inlineStr">
        <is>
          <t>W4</t>
        </is>
      </c>
      <c r="F13" s="1" t="inlineStr"/>
    </row>
    <row r="14">
      <c r="A14" s="9" t="inlineStr">
        <is>
          <t>Against the tests</t>
        </is>
      </c>
    </row>
    <row r="15">
      <c r="A15" s="1" t="inlineStr">
        <is>
          <t>Revenue to assets threshold</t>
        </is>
      </c>
      <c r="B15" s="12">
        <f>in_W19</f>
        <v/>
      </c>
      <c r="C15" t="inlineStr">
        <is>
          <t>share</t>
        </is>
      </c>
      <c r="D15" s="1" t="inlineStr"/>
      <c r="E15" t="inlineStr">
        <is>
          <t>W19</t>
        </is>
      </c>
      <c r="F15" s="1" t="inlineStr"/>
    </row>
    <row r="16">
      <c r="A16" s="1" t="inlineStr">
        <is>
          <t>Distribution passes the revenue test</t>
        </is>
      </c>
      <c r="B16" s="13">
        <f>IF(in_W2&gt;=B15,"yes","no")</f>
        <v/>
      </c>
      <c r="C16" t="inlineStr"/>
      <c r="D16" s="1" t="inlineStr"/>
      <c r="E16" t="inlineStr">
        <is>
          <t>W2</t>
        </is>
      </c>
      <c r="F16" s="1" t="inlineStr"/>
    </row>
    <row r="17">
      <c r="A17" s="1" t="inlineStr">
        <is>
          <t>Advice passes the revenue test</t>
        </is>
      </c>
      <c r="B17" s="13">
        <f>IF(in_W3&gt;=B15,"yes","no")</f>
        <v/>
      </c>
      <c r="C17" t="inlineStr"/>
      <c r="D17" s="1" t="inlineStr"/>
      <c r="E17" t="inlineStr">
        <is>
          <t>W3</t>
        </is>
      </c>
      <c r="F17" s="1" t="inlineStr"/>
    </row>
    <row r="18">
      <c r="A18" s="1" t="inlineStr">
        <is>
          <t>Alternatives passes the revenue test</t>
        </is>
      </c>
      <c r="B18" s="13">
        <f>IF(in_W5&gt;=B15,"yes","no")</f>
        <v/>
      </c>
      <c r="C18" t="inlineStr"/>
      <c r="D18" s="1" t="inlineStr"/>
      <c r="E18" t="inlineStr">
        <is>
          <t>W5</t>
        </is>
      </c>
      <c r="F18" s="1" t="inlineStr"/>
    </row>
    <row r="19">
      <c r="A19" s="1" t="inlineStr">
        <is>
          <t>Payback threshold</t>
        </is>
      </c>
      <c r="B19" s="10">
        <f>in_W20</f>
        <v/>
      </c>
      <c r="C19" t="inlineStr">
        <is>
          <t>months</t>
        </is>
      </c>
      <c r="D19" s="1" t="inlineStr"/>
      <c r="E19" t="inlineStr">
        <is>
          <t>W20</t>
        </is>
      </c>
      <c r="F19" s="1" t="inlineStr"/>
    </row>
    <row r="20">
      <c r="A20" s="9" t="inlineStr">
        <is>
          <t>Market</t>
        </is>
      </c>
    </row>
    <row r="21">
      <c r="A21" s="1" t="inlineStr">
        <is>
          <t>Groww Q1 FY27 PAT</t>
        </is>
      </c>
      <c r="B21" s="11">
        <f>in_W6</f>
        <v/>
      </c>
      <c r="C21" t="inlineStr">
        <is>
          <t>INR crore</t>
        </is>
      </c>
      <c r="D21" s="1" t="inlineStr"/>
      <c r="E21" t="inlineStr">
        <is>
          <t>W6</t>
        </is>
      </c>
      <c r="F21" s="1" t="inlineStr"/>
    </row>
    <row r="22">
      <c r="A22" s="1" t="inlineStr">
        <is>
          <t>Groww price vs issue</t>
        </is>
      </c>
      <c r="B22" s="12">
        <f>in_W7</f>
        <v/>
      </c>
      <c r="C22" t="inlineStr">
        <is>
          <t>share</t>
        </is>
      </c>
      <c r="D22" s="1" t="inlineStr"/>
      <c r="E22" t="inlineStr">
        <is>
          <t>W7</t>
        </is>
      </c>
      <c r="F22" s="1" t="inlineStr"/>
    </row>
    <row r="23">
      <c r="A23" s="1" t="inlineStr">
        <is>
          <t>Zerodha FY26 profit margin</t>
        </is>
      </c>
      <c r="B23" s="12">
        <f>in_W9/in_W8</f>
        <v/>
      </c>
      <c r="C23" t="inlineStr">
        <is>
          <t>share</t>
        </is>
      </c>
      <c r="D23" s="1" t="inlineStr"/>
      <c r="E23" t="inlineStr">
        <is>
          <t>W9, W8</t>
        </is>
      </c>
      <c r="F23" s="1" t="inlineStr"/>
    </row>
    <row r="24">
      <c r="A24" s="1" t="inlineStr">
        <is>
          <t>Share of F&amp;O traders who lost money, FY26</t>
        </is>
      </c>
      <c r="B24" s="12">
        <f>in_W11</f>
        <v/>
      </c>
      <c r="C24" t="inlineStr">
        <is>
          <t>share</t>
        </is>
      </c>
      <c r="D24" s="1" t="inlineStr"/>
      <c r="E24" t="inlineStr">
        <is>
          <t>W11</t>
        </is>
      </c>
      <c r="F24" s="1" t="inlineStr"/>
    </row>
    <row r="25">
      <c r="A25" s="1" t="inlineStr">
        <is>
          <t>Change in F&amp;O traders, FY26</t>
        </is>
      </c>
      <c r="B25" s="12">
        <f>in_W12</f>
        <v/>
      </c>
      <c r="C25" t="inlineStr">
        <is>
          <t>share</t>
        </is>
      </c>
      <c r="D25" s="1" t="inlineStr"/>
      <c r="E25" t="inlineStr">
        <is>
          <t>W12</t>
        </is>
      </c>
      <c r="F25" s="1" t="inlineStr"/>
    </row>
    <row r="26">
      <c r="A26" s="1" t="inlineStr">
        <is>
          <t>Monthly SIP inflow, Aug 2026</t>
        </is>
      </c>
      <c r="B26" s="10">
        <f>in_W15</f>
        <v/>
      </c>
      <c r="C26" t="inlineStr">
        <is>
          <t>INR crore</t>
        </is>
      </c>
      <c r="D26" s="1" t="inlineStr"/>
      <c r="E26" t="inlineStr">
        <is>
          <t>W15</t>
        </is>
      </c>
      <c r="F26" s="1" t="inlineStr"/>
    </row>
    <row r="27">
      <c r="A27" s="1" t="inlineStr">
        <is>
          <t>SIF AUM</t>
        </is>
      </c>
      <c r="B27" s="10">
        <f>in_W16</f>
        <v/>
      </c>
      <c r="C27" t="inlineStr">
        <is>
          <t>INR crore</t>
        </is>
      </c>
      <c r="D27" s="1" t="inlineStr"/>
      <c r="E27" t="inlineStr">
        <is>
          <t>W16</t>
        </is>
      </c>
      <c r="F27" s="1" t="inlineStr"/>
    </row>
    <row r="28">
      <c r="A28" s="1" t="inlineStr">
        <is>
          <t>JioBlackRock AUM</t>
        </is>
      </c>
      <c r="B28" s="10">
        <f>in_W17</f>
        <v/>
      </c>
      <c r="C28" t="inlineStr">
        <is>
          <t>INR crore</t>
        </is>
      </c>
      <c r="D28" s="1" t="inlineStr"/>
      <c r="E28" t="inlineStr">
        <is>
          <t>W17</t>
        </is>
      </c>
      <c r="F28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48" customWidth="1" min="4" max="4"/>
    <col width="18" customWidth="1" min="5" max="5"/>
    <col width="60" customWidth="1" min="6" max="6"/>
  </cols>
  <sheetData>
    <row r="1">
      <c r="A1" s="8" t="inlineStr">
        <is>
          <t>F5 Fraud, compliance and identity: one check sold to a bank</t>
        </is>
      </c>
    </row>
    <row r="2">
      <c r="A2" s="2" t="inlineStr">
        <is>
          <t>Price per check against data cost; the budget is created by dated rules.</t>
        </is>
      </c>
    </row>
    <row r="3"/>
    <row r="4">
      <c r="A4" s="3" t="inlineStr">
        <is>
          <t>Line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Excel formula (what it does)</t>
        </is>
      </c>
      <c r="E4" s="3" t="inlineStr">
        <is>
          <t>Inputs used</t>
        </is>
      </c>
      <c r="F4" s="3" t="inlineStr">
        <is>
          <t>Note</t>
        </is>
      </c>
    </row>
    <row r="5">
      <c r="A5" s="9" t="inlineStr">
        <is>
          <t>Unit economics</t>
        </is>
      </c>
    </row>
    <row r="6">
      <c r="A6" s="1" t="inlineStr">
        <is>
          <t>Price per check</t>
        </is>
      </c>
      <c r="B6" s="11">
        <f>in_F1</f>
        <v/>
      </c>
      <c r="C6" t="inlineStr">
        <is>
          <t>INR</t>
        </is>
      </c>
      <c r="D6" s="1" t="inlineStr"/>
      <c r="E6" t="inlineStr">
        <is>
          <t>F1</t>
        </is>
      </c>
      <c r="F6" s="1" t="inlineStr"/>
    </row>
    <row r="7">
      <c r="A7" s="1" t="inlineStr">
        <is>
          <t>Data fee per pull</t>
        </is>
      </c>
      <c r="B7" s="11">
        <f>in_F3</f>
        <v/>
      </c>
      <c r="C7" t="inlineStr">
        <is>
          <t>INR</t>
        </is>
      </c>
      <c r="D7" s="1" t="inlineStr"/>
      <c r="E7" t="inlineStr">
        <is>
          <t>F3</t>
        </is>
      </c>
      <c r="F7" s="1" t="inlineStr"/>
    </row>
    <row r="8">
      <c r="A8" s="1" t="inlineStr">
        <is>
          <t>Gross margin per check</t>
        </is>
      </c>
      <c r="B8" s="11">
        <f>B6-B7</f>
        <v/>
      </c>
      <c r="C8" t="inlineStr">
        <is>
          <t>INR</t>
        </is>
      </c>
      <c r="D8" s="1" t="inlineStr"/>
      <c r="E8" t="inlineStr"/>
      <c r="F8" s="1" t="inlineStr"/>
    </row>
    <row r="9">
      <c r="A9" s="1" t="inlineStr">
        <is>
          <t>Gross margin as a share of price</t>
        </is>
      </c>
      <c r="B9" s="12">
        <f>(B6-B7)/B6</f>
        <v/>
      </c>
      <c r="C9" t="inlineStr">
        <is>
          <t>share</t>
        </is>
      </c>
      <c r="D9" s="1" t="inlineStr">
        <is>
          <t>Test: rises with volume; flat means a reseller</t>
        </is>
      </c>
      <c r="E9" t="inlineStr"/>
      <c r="F9" s="1" t="inlineStr"/>
    </row>
    <row r="10">
      <c r="A10" s="1" t="inlineStr">
        <is>
          <t>Checks per year inside one Rs 2 cr bank contract</t>
        </is>
      </c>
      <c r="B10" s="10">
        <f>in_F2*10000000/B6</f>
        <v/>
      </c>
      <c r="C10" t="inlineStr">
        <is>
          <t>checks</t>
        </is>
      </c>
      <c r="D10" s="1" t="inlineStr"/>
      <c r="E10" t="inlineStr">
        <is>
          <t>F2</t>
        </is>
      </c>
      <c r="F10" s="1" t="inlineStr"/>
    </row>
    <row r="11">
      <c r="A11" s="9" t="inlineStr">
        <is>
          <t>The budget, by rule</t>
        </is>
      </c>
    </row>
    <row r="12">
      <c r="A12" s="1" t="inlineStr">
        <is>
          <t>Bank compensation share for coerced-transaction fraud (from 1 Jan 2027)</t>
        </is>
      </c>
      <c r="B12" s="12">
        <f>in_F4</f>
        <v/>
      </c>
      <c r="C12" t="inlineStr">
        <is>
          <t>share</t>
        </is>
      </c>
      <c r="D12" s="1" t="inlineStr"/>
      <c r="E12" t="inlineStr">
        <is>
          <t>F4</t>
        </is>
      </c>
      <c r="F12" s="1" t="inlineStr"/>
    </row>
    <row r="13">
      <c r="A13" s="1" t="inlineStr">
        <is>
          <t>Cap per case</t>
        </is>
      </c>
      <c r="B13" s="10">
        <f>in_F5</f>
        <v/>
      </c>
      <c r="C13" t="inlineStr">
        <is>
          <t>INR</t>
        </is>
      </c>
      <c r="D13" s="1" t="inlineStr"/>
      <c r="E13" t="inlineStr">
        <is>
          <t>F5</t>
        </is>
      </c>
      <c r="F13" s="1" t="inlineStr"/>
    </row>
    <row r="14">
      <c r="A14" s="1" t="inlineStr">
        <is>
          <t>Regulated entities using or building AI (RBI survey, 2025)</t>
        </is>
      </c>
      <c r="B14" s="12">
        <f>in_F6</f>
        <v/>
      </c>
      <c r="C14" t="inlineStr">
        <is>
          <t>share</t>
        </is>
      </c>
      <c r="D14" s="1" t="inlineStr"/>
      <c r="E14" t="inlineStr">
        <is>
          <t>F6</t>
        </is>
      </c>
      <c r="F14" s="1" t="inlineStr"/>
    </row>
    <row r="15">
      <c r="A15" s="1" t="inlineStr">
        <is>
          <t>Buyers that matter (assumption)</t>
        </is>
      </c>
      <c r="B15" s="10">
        <f>in_F11</f>
        <v/>
      </c>
      <c r="C15" t="inlineStr">
        <is>
          <t>count</t>
        </is>
      </c>
      <c r="D15" s="1" t="inlineStr"/>
      <c r="E15" t="inlineStr">
        <is>
          <t>F11</t>
        </is>
      </c>
      <c r="F15" s="1" t="inlineStr"/>
    </row>
    <row r="16">
      <c r="A16" s="9" t="inlineStr">
        <is>
          <t>Rails and comparators</t>
        </is>
      </c>
    </row>
    <row r="17">
      <c r="A17" s="1" t="inlineStr">
        <is>
          <t>AA consents fulfilled, cumulative (Jul 2026)</t>
        </is>
      </c>
      <c r="B17" s="15">
        <f>in_F7</f>
        <v/>
      </c>
      <c r="C17" t="inlineStr">
        <is>
          <t>million</t>
        </is>
      </c>
      <c r="D17" s="1" t="inlineStr"/>
      <c r="E17" t="inlineStr">
        <is>
          <t>F7</t>
        </is>
      </c>
      <c r="F17" s="1" t="inlineStr"/>
    </row>
    <row r="18">
      <c r="A18" s="1" t="inlineStr">
        <is>
          <t>AA data providers</t>
        </is>
      </c>
      <c r="B18" s="10">
        <f>in_F8</f>
        <v/>
      </c>
      <c r="C18" t="inlineStr">
        <is>
          <t>count</t>
        </is>
      </c>
      <c r="D18" s="1" t="inlineStr"/>
      <c r="E18" t="inlineStr">
        <is>
          <t>F8</t>
        </is>
      </c>
      <c r="F18" s="1" t="inlineStr"/>
    </row>
    <row r="19">
      <c r="A19" s="1" t="inlineStr">
        <is>
          <t>AA data users</t>
        </is>
      </c>
      <c r="B19" s="10">
        <f>in_F9</f>
        <v/>
      </c>
      <c r="C19" t="inlineStr">
        <is>
          <t>count</t>
        </is>
      </c>
      <c r="D19" s="1" t="inlineStr"/>
      <c r="E19" t="inlineStr">
        <is>
          <t>F9</t>
        </is>
      </c>
      <c r="F19" s="1" t="inlineStr"/>
    </row>
    <row r="20">
      <c r="A20" s="1" t="inlineStr">
        <is>
          <t>Credgenics FY25 revenue</t>
        </is>
      </c>
      <c r="B20" s="10">
        <f>in_F10</f>
        <v/>
      </c>
      <c r="C20" t="inlineStr">
        <is>
          <t>INR crore</t>
        </is>
      </c>
      <c r="D20" s="1" t="inlineStr"/>
      <c r="E20" t="inlineStr">
        <is>
          <t>F10</t>
        </is>
      </c>
      <c r="F20" s="1" t="inlineStr"/>
    </row>
    <row r="21">
      <c r="A21" s="9" t="inlineStr">
        <is>
          <t>Tests</t>
        </is>
      </c>
    </row>
    <row r="22">
      <c r="A22" s="1" t="inlineStr">
        <is>
          <t>Net revenue retention threshold</t>
        </is>
      </c>
      <c r="B22" s="14">
        <f>in_F12</f>
        <v/>
      </c>
      <c r="C22" t="inlineStr">
        <is>
          <t>x</t>
        </is>
      </c>
      <c r="D22" s="1" t="inlineStr"/>
      <c r="E22" t="inlineStr">
        <is>
          <t>F12</t>
        </is>
      </c>
      <c r="F22" s="1" t="inlineStr"/>
    </row>
    <row r="23">
      <c r="A23" s="1" t="inlineStr">
        <is>
          <t>Top five customers' share threshold</t>
        </is>
      </c>
      <c r="B23" s="12">
        <f>in_F13</f>
        <v/>
      </c>
      <c r="C23" t="inlineStr">
        <is>
          <t>share</t>
        </is>
      </c>
      <c r="D23" s="1" t="inlineStr"/>
      <c r="E23" t="inlineStr">
        <is>
          <t>F13</t>
        </is>
      </c>
      <c r="F23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48" customWidth="1" min="4" max="4"/>
    <col width="18" customWidth="1" min="5" max="5"/>
    <col width="60" customWidth="1" min="6" max="6"/>
  </cols>
  <sheetData>
    <row r="1">
      <c r="A1" s="8" t="inlineStr">
        <is>
          <t>AF2 Customer operations and voice: one resolved call in India</t>
        </is>
      </c>
    </row>
    <row r="2">
      <c r="A2" s="2" t="inlineStr">
        <is>
          <t>Human cost per call against AI cost per call; the margin survives only when the price is per resolved call.</t>
        </is>
      </c>
    </row>
    <row r="3"/>
    <row r="4">
      <c r="A4" s="3" t="inlineStr">
        <is>
          <t>Line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Excel formula (what it does)</t>
        </is>
      </c>
      <c r="E4" s="3" t="inlineStr">
        <is>
          <t>Inputs used</t>
        </is>
      </c>
      <c r="F4" s="3" t="inlineStr">
        <is>
          <t>Note</t>
        </is>
      </c>
    </row>
    <row r="5">
      <c r="A5" s="9" t="inlineStr">
        <is>
          <t>Human benchmark</t>
        </is>
      </c>
    </row>
    <row r="6">
      <c r="A6" s="1" t="inlineStr">
        <is>
          <t>Agent cost per month</t>
        </is>
      </c>
      <c r="B6" s="10">
        <f>in_A1</f>
        <v/>
      </c>
      <c r="C6" t="inlineStr">
        <is>
          <t>INR</t>
        </is>
      </c>
      <c r="D6" s="1" t="inlineStr"/>
      <c r="E6" t="inlineStr">
        <is>
          <t>A1</t>
        </is>
      </c>
      <c r="F6" s="1" t="inlineStr"/>
    </row>
    <row r="7">
      <c r="A7" s="1" t="inlineStr">
        <is>
          <t>Calls per month</t>
        </is>
      </c>
      <c r="B7" s="10">
        <f>in_A2*in_A3</f>
        <v/>
      </c>
      <c r="C7" t="inlineStr">
        <is>
          <t>calls</t>
        </is>
      </c>
      <c r="D7" s="1" t="inlineStr"/>
      <c r="E7" t="inlineStr">
        <is>
          <t>A2, A3</t>
        </is>
      </c>
      <c r="F7" s="1" t="inlineStr"/>
    </row>
    <row r="8">
      <c r="A8" s="1" t="inlineStr">
        <is>
          <t>Human cost per call</t>
        </is>
      </c>
      <c r="B8" s="11">
        <f>B6/B7</f>
        <v/>
      </c>
      <c r="C8" t="inlineStr">
        <is>
          <t>INR</t>
        </is>
      </c>
      <c r="D8" s="1" t="inlineStr"/>
      <c r="E8" t="inlineStr"/>
      <c r="F8" s="1" t="inlineStr"/>
    </row>
    <row r="9">
      <c r="A9" s="1" t="inlineStr">
        <is>
          <t>Human cost per call, low end of ranges</t>
        </is>
      </c>
      <c r="B9" s="11">
        <f>in_A1_lo/(in_A2_hi*in_A3)</f>
        <v/>
      </c>
      <c r="C9" t="inlineStr">
        <is>
          <t>INR</t>
        </is>
      </c>
      <c r="D9" s="1" t="inlineStr"/>
      <c r="E9" t="inlineStr">
        <is>
          <t>A1_lo, A2_hi, A3</t>
        </is>
      </c>
      <c r="F9" s="1" t="inlineStr"/>
    </row>
    <row r="10">
      <c r="A10" s="1" t="inlineStr">
        <is>
          <t>Human cost per call, high end of ranges</t>
        </is>
      </c>
      <c r="B10" s="11">
        <f>in_A1_hi/(in_A2_lo*in_A3)</f>
        <v/>
      </c>
      <c r="C10" t="inlineStr">
        <is>
          <t>INR</t>
        </is>
      </c>
      <c r="D10" s="1" t="inlineStr"/>
      <c r="E10" t="inlineStr">
        <is>
          <t>A1_hi, A2_lo, A3</t>
        </is>
      </c>
      <c r="F10" s="1" t="inlineStr"/>
    </row>
    <row r="11">
      <c r="A11" s="9" t="inlineStr">
        <is>
          <t>AI cost</t>
        </is>
      </c>
    </row>
    <row r="12">
      <c r="A12" s="1" t="inlineStr">
        <is>
          <t>Model cost per call</t>
        </is>
      </c>
      <c r="B12" s="11">
        <f>in_A4*in_A5/1000000*in_A7</f>
        <v/>
      </c>
      <c r="C12" t="inlineStr">
        <is>
          <t>INR</t>
        </is>
      </c>
      <c r="D12" s="1" t="inlineStr">
        <is>
          <t>Tokens per call at the effective price, in rupees</t>
        </is>
      </c>
      <c r="E12" t="inlineStr">
        <is>
          <t>A4, A5, A7</t>
        </is>
      </c>
      <c r="F12" s="1" t="inlineStr"/>
    </row>
    <row r="13">
      <c r="A13" s="1" t="inlineStr">
        <is>
          <t>Telephony and speech per call</t>
        </is>
      </c>
      <c r="B13" s="11">
        <f>in_A6</f>
        <v/>
      </c>
      <c r="C13" t="inlineStr">
        <is>
          <t>INR</t>
        </is>
      </c>
      <c r="D13" s="1" t="inlineStr"/>
      <c r="E13" t="inlineStr">
        <is>
          <t>A6</t>
        </is>
      </c>
      <c r="F13" s="1" t="inlineStr"/>
    </row>
    <row r="14">
      <c r="A14" s="1" t="inlineStr">
        <is>
          <t>AI cost per call</t>
        </is>
      </c>
      <c r="B14" s="11">
        <f>B12+B13</f>
        <v/>
      </c>
      <c r="C14" t="inlineStr">
        <is>
          <t>INR</t>
        </is>
      </c>
      <c r="D14" s="1" t="inlineStr"/>
      <c r="E14" t="inlineStr"/>
      <c r="F14" s="1" t="inlineStr"/>
    </row>
    <row r="15">
      <c r="A15" s="9" t="inlineStr">
        <is>
          <t>Price and margin</t>
        </is>
      </c>
    </row>
    <row r="16">
      <c r="A16" s="1" t="inlineStr">
        <is>
          <t>Price per resolved call (assumption)</t>
        </is>
      </c>
      <c r="B16" s="11">
        <f>in_A8</f>
        <v/>
      </c>
      <c r="C16" t="inlineStr">
        <is>
          <t>INR</t>
        </is>
      </c>
      <c r="D16" s="1" t="inlineStr"/>
      <c r="E16" t="inlineStr">
        <is>
          <t>A8</t>
        </is>
      </c>
      <c r="F16" s="1" t="inlineStr"/>
    </row>
    <row r="17">
      <c r="A17" s="1" t="inlineStr">
        <is>
          <t>Gross margin per resolved call</t>
        </is>
      </c>
      <c r="B17" s="12">
        <f>(B16-B14)/B16</f>
        <v/>
      </c>
      <c r="C17" t="inlineStr">
        <is>
          <t>share</t>
        </is>
      </c>
      <c r="D17" s="1" t="inlineStr">
        <is>
          <t>Before exception-handling staff</t>
        </is>
      </c>
      <c r="E17" t="inlineStr"/>
      <c r="F17" s="1" t="inlineStr"/>
    </row>
    <row r="18">
      <c r="A18" s="1" t="inlineStr">
        <is>
          <t>Price as a share of human cost</t>
        </is>
      </c>
      <c r="B18" s="12">
        <f>B16/B8</f>
        <v/>
      </c>
      <c r="C18" t="inlineStr">
        <is>
          <t>share</t>
        </is>
      </c>
      <c r="D18" s="1" t="inlineStr">
        <is>
          <t>The buyer's saving</t>
        </is>
      </c>
      <c r="E18" t="inlineStr"/>
      <c r="F18" s="1" t="inlineStr"/>
    </row>
    <row r="19">
      <c r="A19" s="1" t="inlineStr">
        <is>
          <t>Intercom Fin per resolution, in rupees</t>
        </is>
      </c>
      <c r="B19" s="11">
        <f>in_A9*in_A7</f>
        <v/>
      </c>
      <c r="C19" t="inlineStr">
        <is>
          <t>INR</t>
        </is>
      </c>
      <c r="D19" s="1" t="inlineStr"/>
      <c r="E19" t="inlineStr">
        <is>
          <t>A9, A7</t>
        </is>
      </c>
      <c r="F19" s="1" t="inlineStr"/>
    </row>
    <row r="20">
      <c r="A20" s="1" t="inlineStr">
        <is>
          <t>Agentforce per conversation, in rupees</t>
        </is>
      </c>
      <c r="B20" s="11">
        <f>in_A10*in_A7</f>
        <v/>
      </c>
      <c r="C20" t="inlineStr">
        <is>
          <t>INR</t>
        </is>
      </c>
      <c r="D20" s="1" t="inlineStr"/>
      <c r="E20" t="inlineStr">
        <is>
          <t>A10, A7</t>
        </is>
      </c>
      <c r="F20" s="1" t="inlineStr"/>
    </row>
    <row r="21">
      <c r="A21" s="1" t="inlineStr">
        <is>
          <t>Exception staff threshold (share of revenue)</t>
        </is>
      </c>
      <c r="B21" s="12">
        <f>in_A37</f>
        <v/>
      </c>
      <c r="C21" t="inlineStr">
        <is>
          <t>share</t>
        </is>
      </c>
      <c r="D21" s="1" t="inlineStr"/>
      <c r="E21" t="inlineStr">
        <is>
          <t>A37</t>
        </is>
      </c>
      <c r="F21" s="1" t="inlineStr"/>
    </row>
    <row r="22">
      <c r="A22" s="1" t="inlineStr">
        <is>
          <t>Stellaris: share of 216 voice AI companies targeting existing spend</t>
        </is>
      </c>
      <c r="B22" s="12">
        <f>in_A14</f>
        <v/>
      </c>
      <c r="C22" t="inlineStr">
        <is>
          <t>share</t>
        </is>
      </c>
      <c r="D22" s="1" t="inlineStr"/>
      <c r="E22" t="inlineStr">
        <is>
          <t>A14</t>
        </is>
      </c>
      <c r="F22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48" customWidth="1" min="4" max="4"/>
    <col width="18" customWidth="1" min="5" max="5"/>
    <col width="60" customWidth="1" min="6" max="6"/>
  </cols>
  <sheetData>
    <row r="1">
      <c r="A1" s="8" t="inlineStr">
        <is>
          <t>AF1 Finance and back-office agents: one invoice processed</t>
        </is>
      </c>
    </row>
    <row r="2">
      <c r="A2" s="2" t="inlineStr">
        <is>
          <t>Per-document price against inference and integration cost.</t>
        </is>
      </c>
    </row>
    <row r="3"/>
    <row r="4">
      <c r="A4" s="3" t="inlineStr">
        <is>
          <t>Line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Excel formula (what it does)</t>
        </is>
      </c>
      <c r="E4" s="3" t="inlineStr">
        <is>
          <t>Inputs used</t>
        </is>
      </c>
      <c r="F4" s="3" t="inlineStr">
        <is>
          <t>Note</t>
        </is>
      </c>
    </row>
    <row r="5">
      <c r="A5" s="1" t="inlineStr">
        <is>
          <t>Price per invoice</t>
        </is>
      </c>
      <c r="B5" s="11">
        <f>in_A15</f>
        <v/>
      </c>
      <c r="C5" t="inlineStr">
        <is>
          <t>INR</t>
        </is>
      </c>
      <c r="D5" s="1" t="inlineStr"/>
      <c r="E5" t="inlineStr">
        <is>
          <t>A15</t>
        </is>
      </c>
      <c r="F5" s="1" t="inlineStr"/>
    </row>
    <row r="6">
      <c r="A6" s="1" t="inlineStr">
        <is>
          <t>Inference cost per invoice</t>
        </is>
      </c>
      <c r="B6" s="11">
        <f>in_A4*in_A16/1000000*in_A7</f>
        <v/>
      </c>
      <c r="C6" t="inlineStr">
        <is>
          <t>INR</t>
        </is>
      </c>
      <c r="D6" s="1" t="inlineStr"/>
      <c r="E6" t="inlineStr">
        <is>
          <t>A4, A16, A7</t>
        </is>
      </c>
      <c r="F6" s="1" t="inlineStr"/>
    </row>
    <row r="7">
      <c r="A7" s="1" t="inlineStr">
        <is>
          <t>Gross margin per invoice before integration</t>
        </is>
      </c>
      <c r="B7" s="12">
        <f>(B5-B6)/B5</f>
        <v/>
      </c>
      <c r="C7" t="inlineStr">
        <is>
          <t>share</t>
        </is>
      </c>
      <c r="D7" s="1" t="inlineStr"/>
      <c r="E7" t="inlineStr"/>
      <c r="F7" s="1" t="inlineStr"/>
    </row>
    <row r="8">
      <c r="A8" s="1" t="inlineStr">
        <is>
          <t>Integration cost per customer</t>
        </is>
      </c>
      <c r="B8" s="11">
        <f>in_A17</f>
        <v/>
      </c>
      <c r="C8" t="inlineStr">
        <is>
          <t>INR crore</t>
        </is>
      </c>
      <c r="D8" s="1" t="inlineStr"/>
      <c r="E8" t="inlineStr">
        <is>
          <t>A17</t>
        </is>
      </c>
      <c r="F8" s="1" t="inlineStr"/>
    </row>
    <row r="9">
      <c r="A9" s="1" t="inlineStr">
        <is>
          <t>First-year contract</t>
        </is>
      </c>
      <c r="B9" s="11">
        <f>in_A18</f>
        <v/>
      </c>
      <c r="C9" t="inlineStr">
        <is>
          <t>INR crore</t>
        </is>
      </c>
      <c r="D9" s="1" t="inlineStr"/>
      <c r="E9" t="inlineStr">
        <is>
          <t>A18</t>
        </is>
      </c>
      <c r="F9" s="1" t="inlineStr"/>
    </row>
    <row r="10">
      <c r="A10" s="1" t="inlineStr">
        <is>
          <t>Integration as a share of first-year contract</t>
        </is>
      </c>
      <c r="B10" s="12">
        <f>B8/B9</f>
        <v/>
      </c>
      <c r="C10" t="inlineStr">
        <is>
          <t>share</t>
        </is>
      </c>
      <c r="D10" s="1" t="inlineStr">
        <is>
          <t>Test: under the threshold</t>
        </is>
      </c>
      <c r="E10" t="inlineStr"/>
      <c r="F10" s="1" t="inlineStr"/>
    </row>
    <row r="11">
      <c r="A11" s="1" t="inlineStr">
        <is>
          <t>Threshold</t>
        </is>
      </c>
      <c r="B11" s="12">
        <f>in_A19</f>
        <v/>
      </c>
      <c r="C11" t="inlineStr">
        <is>
          <t>share</t>
        </is>
      </c>
      <c r="D11" s="1" t="inlineStr"/>
      <c r="E11" t="inlineStr">
        <is>
          <t>A19</t>
        </is>
      </c>
      <c r="F11" s="1" t="inlineStr"/>
    </row>
    <row r="12">
      <c r="A12" s="1" t="inlineStr">
        <is>
          <t>Passes</t>
        </is>
      </c>
      <c r="B12" s="13">
        <f>IF(B10&lt;=in_A19,"yes","no")</f>
        <v/>
      </c>
      <c r="C12" t="inlineStr"/>
      <c r="D12" s="1" t="inlineStr"/>
      <c r="E12" t="inlineStr">
        <is>
          <t>A19</t>
        </is>
      </c>
      <c r="F12" s="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48" customWidth="1" min="4" max="4"/>
    <col width="18" customWidth="1" min="5" max="5"/>
    <col width="60" customWidth="1" min="6" max="6"/>
  </cols>
  <sheetData>
    <row r="1">
      <c r="A1" s="8" t="inlineStr">
        <is>
          <t>AF3 AI-native services: one finished job</t>
        </is>
      </c>
    </row>
    <row r="2">
      <c r="A2" s="2" t="inlineStr">
        <is>
          <t>Price per job against the services budget; margin depends on human minutes per job.</t>
        </is>
      </c>
    </row>
    <row r="3"/>
    <row r="4">
      <c r="A4" s="3" t="inlineStr">
        <is>
          <t>Line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Excel formula (what it does)</t>
        </is>
      </c>
      <c r="E4" s="3" t="inlineStr">
        <is>
          <t>Inputs used</t>
        </is>
      </c>
      <c r="F4" s="3" t="inlineStr">
        <is>
          <t>Note</t>
        </is>
      </c>
    </row>
    <row r="5">
      <c r="A5" s="1" t="inlineStr">
        <is>
          <t>Services spend per dollar of software (US, Sequoia)</t>
        </is>
      </c>
      <c r="B5" s="14">
        <f>in_A21</f>
        <v/>
      </c>
      <c r="C5" t="inlineStr">
        <is>
          <t>x</t>
        </is>
      </c>
      <c r="D5" s="1" t="inlineStr"/>
      <c r="E5" t="inlineStr">
        <is>
          <t>A21</t>
        </is>
      </c>
      <c r="F5" s="1" t="inlineStr"/>
    </row>
    <row r="6">
      <c r="A6" s="1" t="inlineStr">
        <is>
          <t>Hang Ten seed funding</t>
        </is>
      </c>
      <c r="B6" s="10">
        <f>in_A22</f>
        <v/>
      </c>
      <c r="C6" t="inlineStr">
        <is>
          <t>USD million</t>
        </is>
      </c>
      <c r="D6" s="1" t="inlineStr"/>
      <c r="E6" t="inlineStr">
        <is>
          <t>A22</t>
        </is>
      </c>
      <c r="F6" s="1" t="inlineStr"/>
    </row>
    <row r="7">
      <c r="A7" s="1" t="inlineStr">
        <is>
          <t>Gross margin assumption</t>
        </is>
      </c>
      <c r="B7" s="12">
        <f>in_A20</f>
        <v/>
      </c>
      <c r="C7" t="inlineStr">
        <is>
          <t>share</t>
        </is>
      </c>
      <c r="D7" s="1" t="inlineStr"/>
      <c r="E7" t="inlineStr">
        <is>
          <t>A20</t>
        </is>
      </c>
      <c r="F7" s="1" t="inlineStr"/>
    </row>
    <row r="8">
      <c r="A8" s="1" t="inlineStr">
        <is>
          <t>Gross margin, low end</t>
        </is>
      </c>
      <c r="B8" s="12">
        <f>in_A20_lo</f>
        <v/>
      </c>
      <c r="C8" t="inlineStr">
        <is>
          <t>share</t>
        </is>
      </c>
      <c r="D8" s="1" t="inlineStr"/>
      <c r="E8" t="inlineStr">
        <is>
          <t>A20_lo</t>
        </is>
      </c>
      <c r="F8" s="1" t="inlineStr"/>
    </row>
    <row r="9">
      <c r="A9" s="1" t="inlineStr">
        <is>
          <t>Gross margin, high end</t>
        </is>
      </c>
      <c r="B9" s="12">
        <f>in_A20_hi</f>
        <v/>
      </c>
      <c r="C9" t="inlineStr">
        <is>
          <t>share</t>
        </is>
      </c>
      <c r="D9" s="1" t="inlineStr"/>
      <c r="E9" t="inlineStr">
        <is>
          <t>A20_hi</t>
        </is>
      </c>
      <c r="F9" s="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48" customWidth="1" min="4" max="4"/>
    <col width="18" customWidth="1" min="5" max="5"/>
    <col width="60" customWidth="1" min="6" max="6"/>
  </cols>
  <sheetData>
    <row r="1">
      <c r="A1" s="8" t="inlineStr">
        <is>
          <t>AV1 Vertical AI: one site deployed</t>
        </is>
      </c>
    </row>
    <row r="2">
      <c r="A2" s="2" t="inlineStr">
        <is>
          <t>Deployment cost per site against one month of revenue.</t>
        </is>
      </c>
    </row>
    <row r="3"/>
    <row r="4">
      <c r="A4" s="3" t="inlineStr">
        <is>
          <t>Line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Excel formula (what it does)</t>
        </is>
      </c>
      <c r="E4" s="3" t="inlineStr">
        <is>
          <t>Inputs used</t>
        </is>
      </c>
      <c r="F4" s="3" t="inlineStr">
        <is>
          <t>Note</t>
        </is>
      </c>
    </row>
    <row r="5">
      <c r="A5" s="1" t="inlineStr">
        <is>
          <t>Revenue per site per month</t>
        </is>
      </c>
      <c r="B5" s="10">
        <f>in_A23</f>
        <v/>
      </c>
      <c r="C5" t="inlineStr">
        <is>
          <t>INR</t>
        </is>
      </c>
      <c r="D5" s="1" t="inlineStr"/>
      <c r="E5" t="inlineStr">
        <is>
          <t>A23</t>
        </is>
      </c>
      <c r="F5" s="1" t="inlineStr"/>
    </row>
    <row r="6">
      <c r="A6" s="1" t="inlineStr">
        <is>
          <t>Deployment cost per site</t>
        </is>
      </c>
      <c r="B6" s="10">
        <f>in_A24</f>
        <v/>
      </c>
      <c r="C6" t="inlineStr">
        <is>
          <t>INR</t>
        </is>
      </c>
      <c r="D6" s="1" t="inlineStr"/>
      <c r="E6" t="inlineStr">
        <is>
          <t>A24</t>
        </is>
      </c>
      <c r="F6" s="1" t="inlineStr"/>
    </row>
    <row r="7">
      <c r="A7" s="1" t="inlineStr">
        <is>
          <t>Months of revenue to recover deployment</t>
        </is>
      </c>
      <c r="B7" s="14">
        <f>B6/B5</f>
        <v/>
      </c>
      <c r="C7" t="inlineStr">
        <is>
          <t>months</t>
        </is>
      </c>
      <c r="D7" s="1" t="inlineStr">
        <is>
          <t>Test: about one month or less</t>
        </is>
      </c>
      <c r="E7" t="inlineStr"/>
      <c r="F7" s="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48" customWidth="1" min="4" max="4"/>
    <col width="18" customWidth="1" min="5" max="5"/>
    <col width="60" customWidth="1" min="6" max="6"/>
  </cols>
  <sheetData>
    <row r="1">
      <c r="A1" s="8" t="inlineStr">
        <is>
          <t>AL3 and AL4 Tooling, security and audit</t>
        </is>
      </c>
    </row>
    <row r="2">
      <c r="A2" s="2" t="inlineStr">
        <is>
          <t>Net revenue after pass-through model spend; a rule creates the audit budget.</t>
        </is>
      </c>
    </row>
    <row r="3"/>
    <row r="4">
      <c r="A4" s="3" t="inlineStr">
        <is>
          <t>Line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Excel formula (what it does)</t>
        </is>
      </c>
      <c r="E4" s="3" t="inlineStr">
        <is>
          <t>Inputs used</t>
        </is>
      </c>
      <c r="F4" s="3" t="inlineStr">
        <is>
          <t>Note</t>
        </is>
      </c>
    </row>
    <row r="5">
      <c r="A5" s="1" t="inlineStr">
        <is>
          <t>Databricks routing saving (vendor benchmark, coding tasks)</t>
        </is>
      </c>
      <c r="B5" s="12">
        <f>in_A25</f>
        <v/>
      </c>
      <c r="C5" t="inlineStr">
        <is>
          <t>share</t>
        </is>
      </c>
      <c r="D5" s="1" t="inlineStr"/>
      <c r="E5" t="inlineStr">
        <is>
          <t>A25</t>
        </is>
      </c>
      <c r="F5" s="1" t="inlineStr"/>
    </row>
    <row r="6">
      <c r="A6" s="1" t="inlineStr">
        <is>
          <t>Security and audit subscription per regulated buyer</t>
        </is>
      </c>
      <c r="B6" s="11">
        <f>in_A26</f>
        <v/>
      </c>
      <c r="C6" t="inlineStr">
        <is>
          <t>INR crore</t>
        </is>
      </c>
      <c r="D6" s="1" t="inlineStr"/>
      <c r="E6" t="inlineStr">
        <is>
          <t>A26</t>
        </is>
      </c>
      <c r="F6" s="1" t="inlineStr"/>
    </row>
    <row r="7">
      <c r="A7" s="1" t="inlineStr">
        <is>
          <t>Buyers that matter</t>
        </is>
      </c>
      <c r="B7" s="10">
        <f>in_F11</f>
        <v/>
      </c>
      <c r="C7" t="inlineStr">
        <is>
          <t>count</t>
        </is>
      </c>
      <c r="D7" s="1" t="inlineStr"/>
      <c r="E7" t="inlineStr">
        <is>
          <t>F11</t>
        </is>
      </c>
      <c r="F7" s="1" t="inlineStr"/>
    </row>
    <row r="8">
      <c r="A8" s="1" t="inlineStr">
        <is>
          <t>Revenue ceiling at full penetration</t>
        </is>
      </c>
      <c r="B8" s="10">
        <f>B6*B7</f>
        <v/>
      </c>
      <c r="C8" t="inlineStr">
        <is>
          <t>INR crore</t>
        </is>
      </c>
      <c r="D8" s="1" t="inlineStr">
        <is>
          <t>Assumption times assumption; a ceiling, not a forecast</t>
        </is>
      </c>
      <c r="E8" t="inlineStr"/>
      <c r="F8" s="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48" customWidth="1" min="4" max="4"/>
    <col width="18" customWidth="1" min="5" max="5"/>
    <col width="60" customWidth="1" min="6" max="6"/>
  </cols>
  <sheetData>
    <row r="1">
      <c r="A1" s="8" t="inlineStr">
        <is>
          <t>AC Consumer AI apps</t>
        </is>
      </c>
    </row>
    <row r="2">
      <c r="A2" s="2" t="inlineStr">
        <is>
          <t>Paying share and inference per user decide it.</t>
        </is>
      </c>
    </row>
    <row r="3"/>
    <row r="4">
      <c r="A4" s="3" t="inlineStr">
        <is>
          <t>Line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Excel formula (what it does)</t>
        </is>
      </c>
      <c r="E4" s="3" t="inlineStr">
        <is>
          <t>Inputs used</t>
        </is>
      </c>
      <c r="F4" s="3" t="inlineStr">
        <is>
          <t>Note</t>
        </is>
      </c>
    </row>
    <row r="5">
      <c r="A5" s="1" t="inlineStr">
        <is>
          <t>US households paying for an AI subscription (Apr 2026)</t>
        </is>
      </c>
      <c r="B5" s="12">
        <f>in_A27</f>
        <v/>
      </c>
      <c r="C5" t="inlineStr">
        <is>
          <t>share</t>
        </is>
      </c>
      <c r="D5" s="1" t="inlineStr"/>
      <c r="E5" t="inlineStr">
        <is>
          <t>A27</t>
        </is>
      </c>
      <c r="F5" s="1" t="inlineStr"/>
    </row>
    <row r="6">
      <c r="A6" s="1" t="inlineStr">
        <is>
          <t>Emergent revenue run rate</t>
        </is>
      </c>
      <c r="B6" s="10">
        <f>in_A28</f>
        <v/>
      </c>
      <c r="C6" t="inlineStr">
        <is>
          <t>USD million</t>
        </is>
      </c>
      <c r="D6" s="1" t="inlineStr"/>
      <c r="E6" t="inlineStr">
        <is>
          <t>A28</t>
        </is>
      </c>
      <c r="F6" s="1" t="inlineStr"/>
    </row>
    <row r="7">
      <c r="A7" s="1" t="inlineStr">
        <is>
          <t>Emergent revenue from India</t>
        </is>
      </c>
      <c r="B7" s="14">
        <f>B6*in_A29</f>
        <v/>
      </c>
      <c r="C7" t="inlineStr">
        <is>
          <t>USD million</t>
        </is>
      </c>
      <c r="D7" s="1" t="inlineStr"/>
      <c r="E7" t="inlineStr">
        <is>
          <t>A29</t>
        </is>
      </c>
      <c r="F7" s="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48" customWidth="1" min="4" max="4"/>
    <col width="18" customWidth="1" min="5" max="5"/>
    <col width="60" customWidth="1" min="6" max="6"/>
  </cols>
  <sheetData>
    <row r="1">
      <c r="A1" s="8" t="inlineStr">
        <is>
          <t>AL1 and AL2 Compute and foundation models</t>
        </is>
      </c>
    </row>
    <row r="2">
      <c r="A2" s="2" t="inlineStr">
        <is>
          <t>Price per GPU hour and per million tokens; not fundable at Rs 10 to 20 cr.</t>
        </is>
      </c>
    </row>
    <row r="3"/>
    <row r="4">
      <c r="A4" s="3" t="inlineStr">
        <is>
          <t>Line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Excel formula (what it does)</t>
        </is>
      </c>
      <c r="E4" s="3" t="inlineStr">
        <is>
          <t>Inputs used</t>
        </is>
      </c>
      <c r="F4" s="3" t="inlineStr">
        <is>
          <t>Note</t>
        </is>
      </c>
    </row>
    <row r="5">
      <c r="A5" s="1" t="inlineStr">
        <is>
          <t>IndiaAI GPU price per hour, low</t>
        </is>
      </c>
      <c r="B5" s="10">
        <f>in_A30</f>
        <v/>
      </c>
      <c r="C5" t="inlineStr">
        <is>
          <t>INR</t>
        </is>
      </c>
      <c r="D5" s="1" t="inlineStr"/>
      <c r="E5" t="inlineStr">
        <is>
          <t>A30</t>
        </is>
      </c>
      <c r="F5" s="1" t="inlineStr"/>
    </row>
    <row r="6">
      <c r="A6" s="1" t="inlineStr">
        <is>
          <t>IndiaAI GPU price per hour, high</t>
        </is>
      </c>
      <c r="B6" s="10">
        <f>in_A31</f>
        <v/>
      </c>
      <c r="C6" t="inlineStr">
        <is>
          <t>INR</t>
        </is>
      </c>
      <c r="D6" s="1" t="inlineStr"/>
      <c r="E6" t="inlineStr">
        <is>
          <t>A31</t>
        </is>
      </c>
      <c r="F6" s="1" t="inlineStr"/>
    </row>
    <row r="7">
      <c r="A7" s="1" t="inlineStr">
        <is>
          <t>GPU hour in USD, low</t>
        </is>
      </c>
      <c r="B7" s="16">
        <f>in_A30/in_A7</f>
        <v/>
      </c>
      <c r="C7" t="inlineStr">
        <is>
          <t>USD</t>
        </is>
      </c>
      <c r="D7" s="1" t="inlineStr"/>
      <c r="E7" t="inlineStr">
        <is>
          <t>A30, A7</t>
        </is>
      </c>
      <c r="F7" s="1" t="inlineStr"/>
    </row>
    <row r="8">
      <c r="A8" s="1" t="inlineStr">
        <is>
          <t>Neysa round</t>
        </is>
      </c>
      <c r="B8" s="10">
        <f>in_A32</f>
        <v/>
      </c>
      <c r="C8" t="inlineStr">
        <is>
          <t>USD million</t>
        </is>
      </c>
      <c r="D8" s="1" t="inlineStr"/>
      <c r="E8" t="inlineStr">
        <is>
          <t>A32</t>
        </is>
      </c>
      <c r="F8" s="1" t="inlineStr"/>
    </row>
    <row r="9">
      <c r="A9" s="1" t="inlineStr">
        <is>
          <t>Sarvam 2026 funding</t>
        </is>
      </c>
      <c r="B9" s="10">
        <f>in_A33</f>
        <v/>
      </c>
      <c r="C9" t="inlineStr">
        <is>
          <t>USD million</t>
        </is>
      </c>
      <c r="D9" s="1" t="inlineStr"/>
      <c r="E9" t="inlineStr">
        <is>
          <t>A33</t>
        </is>
      </c>
      <c r="F9" s="1" t="inlineStr"/>
    </row>
    <row r="10">
      <c r="A10" s="1" t="inlineStr">
        <is>
          <t>Frontier mid-tier input price (Sonnet 5.5)</t>
        </is>
      </c>
      <c r="B10" s="16">
        <f>in_A34</f>
        <v/>
      </c>
      <c r="C10" t="inlineStr">
        <is>
          <t>USD per million tokens</t>
        </is>
      </c>
      <c r="D10" s="1" t="inlineStr"/>
      <c r="E10" t="inlineStr">
        <is>
          <t>A34</t>
        </is>
      </c>
      <c r="F10" s="1" t="inlineStr"/>
    </row>
    <row r="11">
      <c r="A11" s="1" t="inlineStr">
        <is>
          <t>Small model input price (gpt-6-luna)</t>
        </is>
      </c>
      <c r="B11" s="16">
        <f>in_A35</f>
        <v/>
      </c>
      <c r="C11" t="inlineStr">
        <is>
          <t>USD per million tokens</t>
        </is>
      </c>
      <c r="D11" s="1" t="inlineStr"/>
      <c r="E11" t="inlineStr">
        <is>
          <t>A35</t>
        </is>
      </c>
      <c r="F11" s="1" t="inlineStr"/>
    </row>
    <row r="12">
      <c r="A12" s="1" t="inlineStr">
        <is>
          <t>Price ratio, mid-tier to small</t>
        </is>
      </c>
      <c r="B12" s="14">
        <f>in_A34/in_A35</f>
        <v/>
      </c>
      <c r="C12" t="inlineStr">
        <is>
          <t>x</t>
        </is>
      </c>
      <c r="D12" s="1" t="inlineStr"/>
      <c r="E12" t="inlineStr">
        <is>
          <t>A34, A35</t>
        </is>
      </c>
      <c r="F12" s="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48" customWidth="1" min="4" max="4"/>
    <col width="18" customWidth="1" min="5" max="5"/>
    <col width="60" customWidth="1" min="6" max="6"/>
  </cols>
  <sheetData>
    <row r="1">
      <c r="A1" s="8" t="inlineStr">
        <is>
          <t>AP Physical AI</t>
        </is>
      </c>
    </row>
    <row r="2">
      <c r="A2" s="2" t="inlineStr">
        <is>
          <t>Payback per deployed unit; no sourced figure in the set.</t>
        </is>
      </c>
    </row>
    <row r="3"/>
    <row r="4">
      <c r="A4" s="3" t="inlineStr">
        <is>
          <t>Line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Excel formula (what it does)</t>
        </is>
      </c>
      <c r="E4" s="3" t="inlineStr">
        <is>
          <t>Inputs used</t>
        </is>
      </c>
      <c r="F4" s="3" t="inlineStr">
        <is>
          <t>Note</t>
        </is>
      </c>
    </row>
    <row r="5">
      <c r="A5" s="1" t="inlineStr">
        <is>
          <t>Payback per unit (assumption)</t>
        </is>
      </c>
      <c r="B5" s="10">
        <f>in_A36</f>
        <v/>
      </c>
      <c r="C5" t="inlineStr">
        <is>
          <t>months</t>
        </is>
      </c>
      <c r="D5" s="1" t="inlineStr"/>
      <c r="E5" t="inlineStr">
        <is>
          <t>A36</t>
        </is>
      </c>
      <c r="F5" s="1" t="inlineStr"/>
    </row>
    <row r="6">
      <c r="A6" s="1" t="inlineStr">
        <is>
          <t>Low end</t>
        </is>
      </c>
      <c r="B6" s="10">
        <f>in_A36_lo</f>
        <v/>
      </c>
      <c r="C6" t="inlineStr">
        <is>
          <t>months</t>
        </is>
      </c>
      <c r="D6" s="1" t="inlineStr"/>
      <c r="E6" t="inlineStr">
        <is>
          <t>A36_lo</t>
        </is>
      </c>
      <c r="F6" s="1" t="inlineStr"/>
    </row>
    <row r="7">
      <c r="A7" s="1" t="inlineStr">
        <is>
          <t>High end</t>
        </is>
      </c>
      <c r="B7" s="10">
        <f>in_A36_hi</f>
        <v/>
      </c>
      <c r="C7" t="inlineStr">
        <is>
          <t>months</t>
        </is>
      </c>
      <c r="D7" s="1" t="inlineStr"/>
      <c r="E7" t="inlineStr">
        <is>
          <t>A36_hi</t>
        </is>
      </c>
      <c r="F7" s="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48" customWidth="1" min="4" max="4"/>
    <col width="18" customWidth="1" min="5" max="5"/>
    <col width="60" customWidth="1" min="6" max="6"/>
  </cols>
  <sheetData>
    <row r="1">
      <c r="A1" s="8" t="inlineStr">
        <is>
          <t>Exhibit 4: the public market prices profit</t>
        </is>
      </c>
    </row>
    <row r="2">
      <c r="A2" s="2" t="inlineStr">
        <is>
          <t>Fintech listings 2025 to 2026 against issue price; profitable names trade up.</t>
        </is>
      </c>
    </row>
    <row r="3"/>
    <row r="4">
      <c r="A4" s="3" t="inlineStr">
        <is>
          <t>Line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Excel formula (what it does)</t>
        </is>
      </c>
      <c r="E4" s="3" t="inlineStr">
        <is>
          <t>Inputs used</t>
        </is>
      </c>
      <c r="F4" s="3" t="inlineStr">
        <is>
          <t>Note</t>
        </is>
      </c>
    </row>
    <row r="5">
      <c r="A5" s="1" t="inlineStr">
        <is>
          <t>Groww price vs issue</t>
        </is>
      </c>
      <c r="B5" s="12">
        <f>in_X2/in_X1-1</f>
        <v/>
      </c>
      <c r="C5" t="inlineStr">
        <is>
          <t>share</t>
        </is>
      </c>
      <c r="D5" s="1" t="inlineStr"/>
      <c r="E5" t="inlineStr">
        <is>
          <t>X2, X1</t>
        </is>
      </c>
      <c r="F5" s="1" t="inlineStr"/>
    </row>
    <row r="6">
      <c r="A6" s="1" t="inlineStr">
        <is>
          <t>Pine Labs price vs issue</t>
        </is>
      </c>
      <c r="B6" s="12">
        <f>in_P17/in_P16-1</f>
        <v/>
      </c>
      <c r="C6" t="inlineStr">
        <is>
          <t>share</t>
        </is>
      </c>
      <c r="D6" s="1" t="inlineStr"/>
      <c r="E6" t="inlineStr">
        <is>
          <t>P17, P16</t>
        </is>
      </c>
      <c r="F6" s="1" t="inlineStr"/>
    </row>
    <row r="7">
      <c r="A7" s="1" t="inlineStr">
        <is>
          <t>Turtlemint price vs issue (late Sep 2026)</t>
        </is>
      </c>
      <c r="B7" s="12">
        <f>in_I16/in_I15-1</f>
        <v/>
      </c>
      <c r="C7" t="inlineStr">
        <is>
          <t>share</t>
        </is>
      </c>
      <c r="D7" s="1" t="inlineStr"/>
      <c r="E7" t="inlineStr">
        <is>
          <t>I16, I15</t>
        </is>
      </c>
      <c r="F7" s="1" t="inlineStr"/>
    </row>
    <row r="8">
      <c r="A8" s="1" t="inlineStr">
        <is>
          <t>Moneyview listing gain</t>
        </is>
      </c>
      <c r="B8" s="12">
        <f>in_L10</f>
        <v/>
      </c>
      <c r="C8" t="inlineStr">
        <is>
          <t>share</t>
        </is>
      </c>
      <c r="D8" s="1" t="inlineStr"/>
      <c r="E8" t="inlineStr">
        <is>
          <t>L10</t>
        </is>
      </c>
      <c r="F8" s="1" t="inlineStr"/>
    </row>
    <row r="9">
      <c r="A9" s="1" t="inlineStr">
        <is>
          <t>Kissht listing-day gain</t>
        </is>
      </c>
      <c r="B9" s="12">
        <f>in_X4</f>
        <v/>
      </c>
      <c r="C9" t="inlineStr">
        <is>
          <t>share</t>
        </is>
      </c>
      <c r="D9" s="1" t="inlineStr"/>
      <c r="E9" t="inlineStr">
        <is>
          <t>X4</t>
        </is>
      </c>
      <c r="F9" s="1" t="inlineStr"/>
    </row>
    <row r="10">
      <c r="A10" s="1" t="inlineStr">
        <is>
          <t>Aye Finance listing-day change</t>
        </is>
      </c>
      <c r="B10" s="12">
        <f>in_X3</f>
        <v/>
      </c>
      <c r="C10" t="inlineStr">
        <is>
          <t>share</t>
        </is>
      </c>
      <c r="D10" s="1" t="inlineStr"/>
      <c r="E10" t="inlineStr">
        <is>
          <t>X3</t>
        </is>
      </c>
      <c r="F10" s="1" t="inlineStr"/>
    </row>
    <row r="11">
      <c r="A11" s="1" t="inlineStr">
        <is>
          <t>Groww Q1 FY27 PAT</t>
        </is>
      </c>
      <c r="B11" s="11">
        <f>in_W6</f>
        <v/>
      </c>
      <c r="C11" t="inlineStr">
        <is>
          <t>INR crore</t>
        </is>
      </c>
      <c r="D11" s="1" t="inlineStr"/>
      <c r="E11" t="inlineStr">
        <is>
          <t>W6</t>
        </is>
      </c>
      <c r="F11" s="1" t="inlineStr"/>
    </row>
    <row r="12">
      <c r="A12" s="1" t="inlineStr">
        <is>
          <t>Pine Labs Q1 FY27 PAT</t>
        </is>
      </c>
      <c r="B12" s="11">
        <f>in_P15</f>
        <v/>
      </c>
      <c r="C12" t="inlineStr">
        <is>
          <t>INR crore</t>
        </is>
      </c>
      <c r="D12" s="1" t="inlineStr"/>
      <c r="E12" t="inlineStr">
        <is>
          <t>P15</t>
        </is>
      </c>
      <c r="F12" s="1" t="inlineStr"/>
    </row>
    <row r="13">
      <c r="A13" s="1" t="inlineStr">
        <is>
          <t>PB Fintech Q1 FY27 PAT</t>
        </is>
      </c>
      <c r="B13" s="11">
        <f>in_I6</f>
        <v/>
      </c>
      <c r="C13" t="inlineStr">
        <is>
          <t>INR crore</t>
        </is>
      </c>
      <c r="D13" s="1" t="inlineStr"/>
      <c r="E13" t="inlineStr">
        <is>
          <t>I6</t>
        </is>
      </c>
      <c r="F13" s="1" t="inlineStr"/>
    </row>
    <row r="14">
      <c r="A14" s="1" t="inlineStr">
        <is>
          <t>PB Fintech fall after IRDAI paper</t>
        </is>
      </c>
      <c r="B14" s="12">
        <f>in_I7</f>
        <v/>
      </c>
      <c r="C14" t="inlineStr">
        <is>
          <t>share</t>
        </is>
      </c>
      <c r="D14" s="1" t="inlineStr"/>
      <c r="E14" t="inlineStr">
        <is>
          <t>I7</t>
        </is>
      </c>
      <c r="F14" s="1" t="inlineStr"/>
    </row>
    <row r="15"/>
    <row r="16"/>
    <row r="17">
      <c r="A17" s="9" t="inlineStr">
        <is>
          <t>Share price against issue price</t>
        </is>
      </c>
    </row>
    <row r="18">
      <c r="A18" s="3" t="inlineStr">
        <is>
          <t>Category</t>
        </is>
      </c>
      <c r="B18" s="3" t="inlineStr">
        <is>
          <t>Change</t>
        </is>
      </c>
    </row>
    <row r="19">
      <c r="A19" t="inlineStr">
        <is>
          <t>Groww</t>
        </is>
      </c>
      <c r="B19" s="13">
        <f>B5</f>
        <v/>
      </c>
    </row>
    <row r="20">
      <c r="A20" t="inlineStr">
        <is>
          <t>Moneyview (listing day)</t>
        </is>
      </c>
      <c r="B20" s="13">
        <f>B8</f>
        <v/>
      </c>
    </row>
    <row r="21">
      <c r="A21" t="inlineStr">
        <is>
          <t>Kissht (listing day)</t>
        </is>
      </c>
      <c r="B21" s="13">
        <f>B9</f>
        <v/>
      </c>
    </row>
    <row r="22">
      <c r="A22" t="inlineStr">
        <is>
          <t>Aye Finance (listing day)</t>
        </is>
      </c>
      <c r="B22" s="13">
        <f>B10</f>
        <v/>
      </c>
    </row>
    <row r="23">
      <c r="A23" t="inlineStr">
        <is>
          <t>Turtlemint</t>
        </is>
      </c>
      <c r="B23" s="13">
        <f>B7</f>
        <v/>
      </c>
    </row>
    <row r="24">
      <c r="A24" t="inlineStr">
        <is>
          <t>Pine Labs</t>
        </is>
      </c>
      <c r="B24" s="13">
        <f>B6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48" customWidth="1" min="4" max="4"/>
    <col width="18" customWidth="1" min="5" max="5"/>
    <col width="60" customWidth="1" min="6" max="6"/>
  </cols>
  <sheetData>
    <row r="1">
      <c r="A1" s="8" t="inlineStr">
        <is>
          <t>Exhibit 6: vendor or owner, the AI pricing table</t>
        </is>
      </c>
    </row>
    <row r="2">
      <c r="A2" s="2" t="inlineStr">
        <is>
          <t>A success fee is a vendor's price; a loss is an owner's. Prices in rupees at the assumed exchange rate.</t>
        </is>
      </c>
    </row>
    <row r="3"/>
    <row r="4">
      <c r="A4" s="3" t="inlineStr">
        <is>
          <t>Line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Excel formula (what it does)</t>
        </is>
      </c>
      <c r="E4" s="3" t="inlineStr">
        <is>
          <t>Inputs used</t>
        </is>
      </c>
      <c r="F4" s="3" t="inlineStr">
        <is>
          <t>Note</t>
        </is>
      </c>
    </row>
    <row r="5">
      <c r="A5" s="1" t="inlineStr">
        <is>
          <t>Intercom Fin per resolution</t>
        </is>
      </c>
      <c r="B5" s="11">
        <f>in_A9*in_A7</f>
        <v/>
      </c>
      <c r="C5" t="inlineStr">
        <is>
          <t>INR</t>
        </is>
      </c>
      <c r="D5" s="1" t="inlineStr"/>
      <c r="E5" t="inlineStr">
        <is>
          <t>A9, A7</t>
        </is>
      </c>
      <c r="F5" s="1" t="inlineStr"/>
    </row>
    <row r="6">
      <c r="A6" s="1" t="inlineStr">
        <is>
          <t>Agentforce per conversation</t>
        </is>
      </c>
      <c r="B6" s="11">
        <f>in_A10*in_A7</f>
        <v/>
      </c>
      <c r="C6" t="inlineStr">
        <is>
          <t>INR</t>
        </is>
      </c>
      <c r="D6" s="1" t="inlineStr"/>
      <c r="E6" t="inlineStr">
        <is>
          <t>A10, A7</t>
        </is>
      </c>
      <c r="F6" s="1" t="inlineStr"/>
    </row>
    <row r="7">
      <c r="A7" s="1" t="inlineStr">
        <is>
          <t>Agentforce per action</t>
        </is>
      </c>
      <c r="B7" s="11">
        <f>in_A11*in_A7</f>
        <v/>
      </c>
      <c r="C7" t="inlineStr">
        <is>
          <t>INR</t>
        </is>
      </c>
      <c r="D7" s="1" t="inlineStr"/>
      <c r="E7" t="inlineStr">
        <is>
          <t>A11, A7</t>
        </is>
      </c>
      <c r="F7" s="1" t="inlineStr"/>
    </row>
    <row r="8">
      <c r="A8" s="1" t="inlineStr">
        <is>
          <t>Sierra per resolution (estimate)</t>
        </is>
      </c>
      <c r="B8" s="11">
        <f>in_A12*in_A7</f>
        <v/>
      </c>
      <c r="C8" t="inlineStr">
        <is>
          <t>INR</t>
        </is>
      </c>
      <c r="D8" s="1" t="inlineStr"/>
      <c r="E8" t="inlineStr">
        <is>
          <t>A12, A7</t>
        </is>
      </c>
      <c r="F8" s="1" t="inlineStr"/>
    </row>
    <row r="9">
      <c r="A9" s="1" t="inlineStr">
        <is>
          <t>AgentCollect share of recoveries (midpoint)</t>
        </is>
      </c>
      <c r="B9" s="12">
        <f>in_A13</f>
        <v/>
      </c>
      <c r="C9" t="inlineStr">
        <is>
          <t>share</t>
        </is>
      </c>
      <c r="D9" s="1" t="inlineStr"/>
      <c r="E9" t="inlineStr">
        <is>
          <t>A13</t>
        </is>
      </c>
      <c r="F9" s="1" t="inlineStr"/>
    </row>
    <row r="10">
      <c r="A10" s="1" t="inlineStr">
        <is>
          <t>Indian voice vendor per resolved call (assumption)</t>
        </is>
      </c>
      <c r="B10" s="11">
        <f>in_A8</f>
        <v/>
      </c>
      <c r="C10" t="inlineStr">
        <is>
          <t>INR</t>
        </is>
      </c>
      <c r="D10" s="1" t="inlineStr"/>
      <c r="E10" t="inlineStr">
        <is>
          <t>A8</t>
        </is>
      </c>
      <c r="F10" s="1" t="inlineStr"/>
    </row>
    <row r="11">
      <c r="A11" s="1" t="inlineStr">
        <is>
          <t>Human cost per call (assumption)</t>
        </is>
      </c>
      <c r="B11" s="11">
        <f>in_A1/(in_A2*in_A3)</f>
        <v/>
      </c>
      <c r="C11" t="inlineStr">
        <is>
          <t>INR</t>
        </is>
      </c>
      <c r="D11" s="1" t="inlineStr"/>
      <c r="E11" t="inlineStr">
        <is>
          <t>A1, A2, A3</t>
        </is>
      </c>
      <c r="F11" s="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48" customWidth="1" min="4" max="4"/>
    <col width="18" customWidth="1" min="5" max="5"/>
    <col width="60" customWidth="1" min="6" max="6"/>
  </cols>
  <sheetData>
    <row r="1">
      <c r="A1" s="8" t="inlineStr">
        <is>
          <t>Exhibit 7: what the fund needs from each name</t>
        </is>
      </c>
    </row>
    <row r="2">
      <c r="A2" s="2" t="inlineStr">
        <is>
          <t>Only the Mint facts about JSW; the rest is arithmetic.</t>
        </is>
      </c>
    </row>
    <row r="3"/>
    <row r="4">
      <c r="A4" s="3" t="inlineStr">
        <is>
          <t>Line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Excel formula (what it does)</t>
        </is>
      </c>
      <c r="E4" s="3" t="inlineStr">
        <is>
          <t>Inputs used</t>
        </is>
      </c>
      <c r="F4" s="3" t="inlineStr">
        <is>
          <t>Note</t>
        </is>
      </c>
    </row>
    <row r="5">
      <c r="A5" s="1" t="inlineStr">
        <is>
          <t>Fund III target, midpoint</t>
        </is>
      </c>
      <c r="B5" s="10">
        <f>(in_X11+in_X12)/2</f>
        <v/>
      </c>
      <c r="C5" t="inlineStr">
        <is>
          <t>INR crore</t>
        </is>
      </c>
      <c r="D5" s="1" t="inlineStr"/>
      <c r="E5" t="inlineStr">
        <is>
          <t>X11, X12</t>
        </is>
      </c>
      <c r="F5" s="1" t="inlineStr"/>
    </row>
    <row r="6">
      <c r="A6" s="1" t="inlineStr">
        <is>
          <t>Names, midpoint</t>
        </is>
      </c>
      <c r="B6" s="10">
        <f>(in_X13+in_X14)/2</f>
        <v/>
      </c>
      <c r="C6" t="inlineStr">
        <is>
          <t>count</t>
        </is>
      </c>
      <c r="D6" s="1" t="inlineStr"/>
      <c r="E6" t="inlineStr">
        <is>
          <t>X13, X14</t>
        </is>
      </c>
      <c r="F6" s="1" t="inlineStr"/>
    </row>
    <row r="7">
      <c r="A7" s="1" t="inlineStr">
        <is>
          <t>Initial cheque, midpoint</t>
        </is>
      </c>
      <c r="B7" s="10">
        <f>(in_X15+in_X16)/2</f>
        <v/>
      </c>
      <c r="C7" t="inlineStr">
        <is>
          <t>INR crore</t>
        </is>
      </c>
      <c r="D7" s="1" t="inlineStr"/>
      <c r="E7" t="inlineStr">
        <is>
          <t>X15, X16</t>
        </is>
      </c>
      <c r="F7" s="1" t="inlineStr"/>
    </row>
    <row r="8">
      <c r="A8" s="1" t="inlineStr">
        <is>
          <t>Per name over life (initial plus equal reserve)</t>
        </is>
      </c>
      <c r="B8" s="10">
        <f>B7*2</f>
        <v/>
      </c>
      <c r="C8" t="inlineStr">
        <is>
          <t>INR crore</t>
        </is>
      </c>
      <c r="D8" s="1" t="inlineStr"/>
      <c r="E8" t="inlineStr"/>
      <c r="F8" s="1" t="inlineStr"/>
    </row>
    <row r="9">
      <c r="A9" s="1" t="inlineStr">
        <is>
          <t>Capital deployed if every name takes the reserve</t>
        </is>
      </c>
      <c r="B9" s="10">
        <f>B8*B6</f>
        <v/>
      </c>
      <c r="C9" t="inlineStr">
        <is>
          <t>INR crore</t>
        </is>
      </c>
      <c r="D9" s="1" t="inlineStr">
        <is>
          <t>Against the fund target</t>
        </is>
      </c>
      <c r="E9" t="inlineStr"/>
      <c r="F9" s="1" t="inlineStr"/>
    </row>
    <row r="10">
      <c r="A10" s="1" t="inlineStr">
        <is>
          <t>Return needed for a 3x fund</t>
        </is>
      </c>
      <c r="B10" s="10">
        <f>B5*3</f>
        <v/>
      </c>
      <c r="C10" t="inlineStr">
        <is>
          <t>INR crore</t>
        </is>
      </c>
      <c r="D10" s="1" t="inlineStr"/>
      <c r="E10" t="inlineStr"/>
      <c r="F10" s="1" t="inlineStr"/>
    </row>
    <row r="11">
      <c r="A11" s="1" t="inlineStr">
        <is>
          <t>Multiple needed on every name for 3x if no zeros</t>
        </is>
      </c>
      <c r="B11" s="14">
        <f>B10/(B8*B6)</f>
        <v/>
      </c>
      <c r="C11" t="inlineStr">
        <is>
          <t>x</t>
        </is>
      </c>
      <c r="D11" s="1" t="inlineStr"/>
      <c r="E11" t="inlineStr"/>
      <c r="F11" s="1" t="inlineStr"/>
    </row>
    <row r="12">
      <c r="A12" s="1" t="inlineStr">
        <is>
          <t>Early-stage fintech funding, H1 2026 (Tracxn)</t>
        </is>
      </c>
      <c r="B12" s="10">
        <f>in_X9</f>
        <v/>
      </c>
      <c r="C12" t="inlineStr">
        <is>
          <t>USD million</t>
        </is>
      </c>
      <c r="D12" s="1" t="inlineStr"/>
      <c r="E12" t="inlineStr">
        <is>
          <t>X9</t>
        </is>
      </c>
      <c r="F12" s="1" t="inlineStr"/>
    </row>
    <row r="13">
      <c r="A13" s="1" t="inlineStr">
        <is>
          <t>Seed fintech funding, H1 2026 (Tracxn)</t>
        </is>
      </c>
      <c r="B13" s="14">
        <f>in_X10</f>
        <v/>
      </c>
      <c r="C13" t="inlineStr">
        <is>
          <t>USD million</t>
        </is>
      </c>
      <c r="D13" s="1" t="inlineStr"/>
      <c r="E13" t="inlineStr">
        <is>
          <t>X10</t>
        </is>
      </c>
      <c r="F13" s="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8" t="inlineStr">
        <is>
          <t>Build checks</t>
        </is>
      </c>
    </row>
    <row r="3">
      <c r="A3" t="inlineStr">
        <is>
          <t>Typed numbers outside Inputs (must be 0)</t>
        </is>
      </c>
      <c r="B3" t="n">
        <v>0</v>
      </c>
    </row>
    <row r="4">
      <c r="A4" t="inlineStr">
        <is>
          <t>Inputs marked assumption</t>
        </is>
      </c>
      <c r="B4" t="n">
        <v>46</v>
      </c>
    </row>
    <row r="5">
      <c r="A5" t="inlineStr">
        <is>
          <t>Inputs not found (left blank)</t>
        </is>
      </c>
      <c r="B5" t="n">
        <v>0</v>
      </c>
    </row>
    <row r="6">
      <c r="A6" t="inlineStr">
        <is>
          <t>Inputs verified</t>
        </is>
      </c>
      <c r="B6" t="n">
        <v>99</v>
      </c>
    </row>
    <row r="8">
      <c r="A8" s="9" t="inlineStr">
        <is>
          <t>Assumptions and gaps</t>
        </is>
      </c>
    </row>
    <row r="9">
      <c r="A9" t="inlineStr">
        <is>
          <t>P19</t>
        </is>
      </c>
      <c r="B9" t="inlineStr">
        <is>
          <t>Acquiring side's share of the MDR (bank and app together)</t>
        </is>
      </c>
      <c r="C9" t="inlineStr">
        <is>
          <t>assumption</t>
        </is>
      </c>
      <c r="D9" t="inlineStr">
        <is>
          <t>0.3 to 0.5</t>
        </is>
      </c>
    </row>
    <row r="10">
      <c r="A10" t="inlineStr">
        <is>
          <t>P20</t>
        </is>
      </c>
      <c r="B10" t="inlineStr">
        <is>
          <t>Net take rate of an Indian payment aggregator after pass-through</t>
        </is>
      </c>
      <c r="C10" t="inlineStr">
        <is>
          <t>assumption</t>
        </is>
      </c>
      <c r="D10" t="inlineStr">
        <is>
          <t>0.001 to 0.003</t>
        </is>
      </c>
    </row>
    <row r="11">
      <c r="A11" t="inlineStr">
        <is>
          <t>P21</t>
        </is>
      </c>
      <c r="B11" t="inlineStr">
        <is>
          <t>Fraud and chargeback loss as a share of value</t>
        </is>
      </c>
      <c r="C11" t="inlineStr">
        <is>
          <t>assumption</t>
        </is>
      </c>
      <c r="D11" t="inlineStr">
        <is>
          <t>0.0002 to 0.001</t>
        </is>
      </c>
    </row>
    <row r="12">
      <c r="A12" t="inlineStr">
        <is>
          <t>L2</t>
        </is>
      </c>
      <c r="B12" t="inlineStr">
        <is>
          <t>Bajaj Finance yield on assets</t>
        </is>
      </c>
      <c r="C12" t="inlineStr">
        <is>
          <t>assumption</t>
        </is>
      </c>
      <c r="D12" t="inlineStr">
        <is>
          <t>0.17 to 0.19</t>
        </is>
      </c>
    </row>
    <row r="13">
      <c r="A13" t="inlineStr">
        <is>
          <t>L3</t>
        </is>
      </c>
      <c r="B13" t="inlineStr">
        <is>
          <t>Bajaj Finance credit cost</t>
        </is>
      </c>
      <c r="C13" t="inlineStr">
        <is>
          <t>assumption</t>
        </is>
      </c>
      <c r="D13" t="inlineStr">
        <is>
          <t>0.018 to 0.022</t>
        </is>
      </c>
    </row>
    <row r="14">
      <c r="A14" t="inlineStr">
        <is>
          <t>L4</t>
        </is>
      </c>
      <c r="B14" t="inlineStr">
        <is>
          <t>Bajaj Finance operating cost to assets</t>
        </is>
      </c>
      <c r="C14" t="inlineStr">
        <is>
          <t>assumption</t>
        </is>
      </c>
      <c r="D14" t="inlineStr">
        <is>
          <t>0.03 to 0.035</t>
        </is>
      </c>
    </row>
    <row r="15">
      <c r="A15" t="inlineStr">
        <is>
          <t>L5</t>
        </is>
      </c>
      <c r="B15" t="inlineStr">
        <is>
          <t>Small-ticket lender (Five Star or Aye Finance) yield</t>
        </is>
      </c>
      <c r="C15" t="inlineStr">
        <is>
          <t>assumption</t>
        </is>
      </c>
      <c r="D15" t="inlineStr">
        <is>
          <t>0.24 to 0.28</t>
        </is>
      </c>
    </row>
    <row r="16">
      <c r="A16" t="inlineStr">
        <is>
          <t>L6</t>
        </is>
      </c>
      <c r="B16" t="inlineStr">
        <is>
          <t>Small-ticket lender cost of funds</t>
        </is>
      </c>
      <c r="C16" t="inlineStr">
        <is>
          <t>assumption</t>
        </is>
      </c>
      <c r="D16" t="inlineStr">
        <is>
          <t>0.095 to 0.11</t>
        </is>
      </c>
    </row>
    <row r="17">
      <c r="A17" t="inlineStr">
        <is>
          <t>L7</t>
        </is>
      </c>
      <c r="B17" t="inlineStr">
        <is>
          <t>Small-ticket lender credit cost</t>
        </is>
      </c>
      <c r="C17" t="inlineStr">
        <is>
          <t>assumption</t>
        </is>
      </c>
      <c r="D17" t="inlineStr">
        <is>
          <t>0.01 to 0.04</t>
        </is>
      </c>
    </row>
    <row r="18">
      <c r="A18" t="inlineStr">
        <is>
          <t>L8</t>
        </is>
      </c>
      <c r="B18" t="inlineStr">
        <is>
          <t>Small-ticket lender operating cost to assets</t>
        </is>
      </c>
      <c r="C18" t="inlineStr">
        <is>
          <t>assumption</t>
        </is>
      </c>
      <c r="D18" t="inlineStr">
        <is>
          <t>0.06 to 0.1</t>
        </is>
      </c>
    </row>
    <row r="19">
      <c r="A19" t="inlineStr">
        <is>
          <t>L15</t>
        </is>
      </c>
      <c r="B19" t="inlineStr">
        <is>
          <t>Pre-Series A lender, year one: yield</t>
        </is>
      </c>
      <c r="C19" t="inlineStr">
        <is>
          <t>assumption</t>
        </is>
      </c>
      <c r="D19" t="inlineStr">
        <is>
          <t>0.2 to 0.26</t>
        </is>
      </c>
    </row>
    <row r="20">
      <c r="A20" t="inlineStr">
        <is>
          <t>L16</t>
        </is>
      </c>
      <c r="B20" t="inlineStr">
        <is>
          <t>Pre-Series A lender, year one: cost of funds</t>
        </is>
      </c>
      <c r="C20" t="inlineStr">
        <is>
          <t>assumption</t>
        </is>
      </c>
      <c r="D20" t="inlineStr">
        <is>
          <t>0.12 to 0.15</t>
        </is>
      </c>
    </row>
    <row r="21">
      <c r="A21" t="inlineStr">
        <is>
          <t>L17</t>
        </is>
      </c>
      <c r="B21" t="inlineStr">
        <is>
          <t>Pre-Series A lender, year one: credit cost</t>
        </is>
      </c>
      <c r="C21" t="inlineStr">
        <is>
          <t>assumption</t>
        </is>
      </c>
      <c r="D21" t="inlineStr">
        <is>
          <t>0.03 to 0.06</t>
        </is>
      </c>
    </row>
    <row r="22">
      <c r="A22" t="inlineStr">
        <is>
          <t>L18</t>
        </is>
      </c>
      <c r="B22" t="inlineStr">
        <is>
          <t>Pre-Series A lender, year one: operating cost to assets</t>
        </is>
      </c>
      <c r="C22" t="inlineStr">
        <is>
          <t>assumption</t>
        </is>
      </c>
      <c r="D22" t="inlineStr">
        <is>
          <t>0.08 to 0.12</t>
        </is>
      </c>
    </row>
    <row r="23">
      <c r="A23" t="inlineStr">
        <is>
          <t>L26</t>
        </is>
      </c>
      <c r="B23" t="inlineStr">
        <is>
          <t>Debt to equity a new NBFC can raise in years one to two</t>
        </is>
      </c>
      <c r="C23" t="inlineStr">
        <is>
          <t>assumption</t>
        </is>
      </c>
      <c r="D23" t="inlineStr">
        <is>
          <t>3 to 4</t>
        </is>
      </c>
    </row>
    <row r="24">
      <c r="A24" t="inlineStr">
        <is>
          <t>I2</t>
        </is>
      </c>
      <c r="B24" t="inlineStr">
        <is>
          <t>First-year commission to an online distributor, individual health</t>
        </is>
      </c>
      <c r="C24" t="inlineStr">
        <is>
          <t>assumption</t>
        </is>
      </c>
      <c r="D24" t="inlineStr">
        <is>
          <t>0.15 to 0.2</t>
        </is>
      </c>
    </row>
    <row r="25">
      <c r="A25" t="inlineStr">
        <is>
          <t>I3</t>
        </is>
      </c>
      <c r="B25" t="inlineStr">
        <is>
          <t>Renewal commission</t>
        </is>
      </c>
      <c r="C25" t="inlineStr">
        <is>
          <t>assumption</t>
        </is>
      </c>
      <c r="D25" t="inlineStr">
        <is>
          <t>0.05 to 0.1</t>
        </is>
      </c>
    </row>
    <row r="26">
      <c r="A26" t="inlineStr">
        <is>
          <t>I4</t>
        </is>
      </c>
      <c r="B26" t="inlineStr">
        <is>
          <t>Persistency (share of policies renewed)</t>
        </is>
      </c>
      <c r="C26" t="inlineStr">
        <is>
          <t>assumption</t>
        </is>
      </c>
      <c r="D26" t="inlineStr">
        <is>
          <t>0.75 to 0.85</t>
        </is>
      </c>
    </row>
    <row r="27">
      <c r="A27" t="inlineStr">
        <is>
          <t>I5</t>
        </is>
      </c>
      <c r="B27" t="inlineStr">
        <is>
          <t>Marketing and partner payouts as a share of first-year commission</t>
        </is>
      </c>
      <c r="C27" t="inlineStr">
        <is>
          <t>assumption</t>
        </is>
      </c>
      <c r="D27" t="inlineStr">
        <is>
          <t>0.4 to 0.6</t>
        </is>
      </c>
    </row>
    <row r="28">
      <c r="A28" t="inlineStr">
        <is>
          <t>I13</t>
        </is>
      </c>
      <c r="B28" t="inlineStr">
        <is>
          <t>Claims software price per claim handled</t>
        </is>
      </c>
      <c r="C28" t="inlineStr">
        <is>
          <t>assumption</t>
        </is>
      </c>
      <c r="D28" t="inlineStr">
        <is>
          <t>50 to 300</t>
        </is>
      </c>
    </row>
    <row r="29">
      <c r="A29" t="inlineStr">
        <is>
          <t>I14</t>
        </is>
      </c>
      <c r="B29" t="inlineStr">
        <is>
          <t>Insurer's own cost per claim handled</t>
        </is>
      </c>
      <c r="C29" t="inlineStr">
        <is>
          <t>assumption</t>
        </is>
      </c>
      <c r="D29" t="inlineStr">
        <is>
          <t>500 to 2000</t>
        </is>
      </c>
    </row>
    <row r="30">
      <c r="A30" t="inlineStr">
        <is>
          <t>W2</t>
        </is>
      </c>
      <c r="B30" t="inlineStr">
        <is>
          <t>Trail commission on regular-plan equity funds</t>
        </is>
      </c>
      <c r="C30" t="inlineStr">
        <is>
          <t>assumption</t>
        </is>
      </c>
      <c r="D30" t="inlineStr">
        <is>
          <t>0.003 to 0.01</t>
        </is>
      </c>
    </row>
    <row r="31">
      <c r="A31" t="inlineStr">
        <is>
          <t>W3</t>
        </is>
      </c>
      <c r="B31" t="inlineStr">
        <is>
          <t>Advisory fee as a share of assets</t>
        </is>
      </c>
      <c r="C31" t="inlineStr">
        <is>
          <t>assumption</t>
        </is>
      </c>
      <c r="D31" t="inlineStr">
        <is>
          <t>0.005 to 0.01</t>
        </is>
      </c>
    </row>
    <row r="32">
      <c r="A32" t="inlineStr">
        <is>
          <t>W4</t>
        </is>
      </c>
      <c r="B32" t="inlineStr">
        <is>
          <t>Cost to win one advisory client</t>
        </is>
      </c>
      <c r="C32" t="inlineStr">
        <is>
          <t>assumption</t>
        </is>
      </c>
      <c r="D32" t="inlineStr">
        <is>
          <t>3000 to 15000</t>
        </is>
      </c>
    </row>
    <row r="33">
      <c r="A33" t="inlineStr">
        <is>
          <t>W5</t>
        </is>
      </c>
      <c r="B33" t="inlineStr">
        <is>
          <t>Fee on alternatives (SIF, AIF, PMS)</t>
        </is>
      </c>
      <c r="C33" t="inlineStr">
        <is>
          <t>assumption</t>
        </is>
      </c>
      <c r="D33" t="inlineStr">
        <is>
          <t>0.01 to 0.02</t>
        </is>
      </c>
    </row>
    <row r="34">
      <c r="A34" t="inlineStr">
        <is>
          <t>F1</t>
        </is>
      </c>
      <c r="B34" t="inlineStr">
        <is>
          <t>Price per identity or fraud check</t>
        </is>
      </c>
      <c r="C34" t="inlineStr">
        <is>
          <t>assumption</t>
        </is>
      </c>
      <c r="D34" t="inlineStr">
        <is>
          <t>2 to 30</t>
        </is>
      </c>
    </row>
    <row r="35">
      <c r="A35" t="inlineStr">
        <is>
          <t>F2</t>
        </is>
      </c>
      <c r="B35" t="inlineStr">
        <is>
          <t>Annual contract value with one large bank</t>
        </is>
      </c>
      <c r="C35" t="inlineStr">
        <is>
          <t>assumption</t>
        </is>
      </c>
      <c r="D35" t="inlineStr">
        <is>
          <t>0.5 to 5</t>
        </is>
      </c>
    </row>
    <row r="36">
      <c r="A36" t="inlineStr">
        <is>
          <t>F3</t>
        </is>
      </c>
      <c r="B36" t="inlineStr">
        <is>
          <t>Data fee per pull (bureau, database)</t>
        </is>
      </c>
      <c r="C36" t="inlineStr">
        <is>
          <t>assumption</t>
        </is>
      </c>
      <c r="D36" t="inlineStr">
        <is>
          <t>1 to 15</t>
        </is>
      </c>
    </row>
    <row r="37">
      <c r="A37" t="inlineStr">
        <is>
          <t>F11</t>
        </is>
      </c>
      <c r="B37" t="inlineStr">
        <is>
          <t>Regulated entities that matter as buyers</t>
        </is>
      </c>
      <c r="C37" t="inlineStr">
        <is>
          <t>assumption</t>
        </is>
      </c>
      <c r="D37" t="inlineStr">
        <is>
          <t>150 to 250</t>
        </is>
      </c>
    </row>
    <row r="38">
      <c r="A38" t="inlineStr">
        <is>
          <t>A1</t>
        </is>
      </c>
      <c r="B38" t="inlineStr">
        <is>
          <t>Contact-centre voice agent cost to company per month, India</t>
        </is>
      </c>
      <c r="C38" t="inlineStr">
        <is>
          <t>assumption</t>
        </is>
      </c>
      <c r="D38" t="inlineStr">
        <is>
          <t>25000 to 45000</t>
        </is>
      </c>
    </row>
    <row r="39">
      <c r="A39" t="inlineStr">
        <is>
          <t>A2</t>
        </is>
      </c>
      <c r="B39" t="inlineStr">
        <is>
          <t>Calls handled per agent per working day</t>
        </is>
      </c>
      <c r="C39" t="inlineStr">
        <is>
          <t>assumption</t>
        </is>
      </c>
      <c r="D39" t="inlineStr">
        <is>
          <t>80 to 150</t>
        </is>
      </c>
    </row>
    <row r="40">
      <c r="A40" t="inlineStr">
        <is>
          <t>A5</t>
        </is>
      </c>
      <c r="B40" t="inlineStr">
        <is>
          <t>Tokens used per customer call</t>
        </is>
      </c>
      <c r="C40" t="inlineStr">
        <is>
          <t>assumption</t>
        </is>
      </c>
      <c r="D40" t="inlineStr">
        <is>
          <t>2000 to 6000</t>
        </is>
      </c>
    </row>
    <row r="41">
      <c r="A41" t="inlineStr">
        <is>
          <t>A6</t>
        </is>
      </c>
      <c r="B41" t="inlineStr">
        <is>
          <t>Telephony and speech cost per call</t>
        </is>
      </c>
      <c r="C41" t="inlineStr">
        <is>
          <t>assumption</t>
        </is>
      </c>
      <c r="D41" t="inlineStr">
        <is>
          <t>1 to 4</t>
        </is>
      </c>
    </row>
    <row r="42">
      <c r="A42" t="inlineStr">
        <is>
          <t>A7</t>
        </is>
      </c>
      <c r="B42" t="inlineStr">
        <is>
          <t>USD to INR</t>
        </is>
      </c>
      <c r="C42" t="inlineStr">
        <is>
          <t>assumption</t>
        </is>
      </c>
      <c r="D42" t="inlineStr">
        <is>
          <t>85 to 90</t>
        </is>
      </c>
    </row>
    <row r="43">
      <c r="A43" t="inlineStr">
        <is>
          <t>A8</t>
        </is>
      </c>
      <c r="B43" t="inlineStr">
        <is>
          <t>Price per resolved call charged by an Indian voice AI vendor</t>
        </is>
      </c>
      <c r="C43" t="inlineStr">
        <is>
          <t>assumption</t>
        </is>
      </c>
      <c r="D43" t="inlineStr">
        <is>
          <t>10 to 20</t>
        </is>
      </c>
    </row>
    <row r="44">
      <c r="A44" t="inlineStr">
        <is>
          <t>A12</t>
        </is>
      </c>
      <c r="B44" t="inlineStr">
        <is>
          <t>Sierra price per resolution (estimate, not published)</t>
        </is>
      </c>
      <c r="C44" t="inlineStr">
        <is>
          <t>assumption</t>
        </is>
      </c>
      <c r="D44" t="inlineStr">
        <is>
          <t>1 to 2</t>
        </is>
      </c>
    </row>
    <row r="45">
      <c r="A45" t="inlineStr">
        <is>
          <t>A13</t>
        </is>
      </c>
      <c r="B45" t="inlineStr">
        <is>
          <t>AgentCollect fee as a share of amounts recovered (midpoint)</t>
        </is>
      </c>
      <c r="C45" t="inlineStr">
        <is>
          <t>assumption</t>
        </is>
      </c>
      <c r="D45" t="inlineStr">
        <is>
          <t>0.05 to 0.15</t>
        </is>
      </c>
    </row>
    <row r="46">
      <c r="A46" t="inlineStr">
        <is>
          <t>A15</t>
        </is>
      </c>
      <c r="B46" t="inlineStr">
        <is>
          <t>Price per invoice processed by a finance agent</t>
        </is>
      </c>
      <c r="C46" t="inlineStr">
        <is>
          <t>assumption</t>
        </is>
      </c>
      <c r="D46" t="inlineStr">
        <is>
          <t>5 to 50</t>
        </is>
      </c>
    </row>
    <row r="47">
      <c r="A47" t="inlineStr">
        <is>
          <t>A16</t>
        </is>
      </c>
      <c r="B47" t="inlineStr">
        <is>
          <t>Tokens per invoice processed</t>
        </is>
      </c>
      <c r="C47" t="inlineStr">
        <is>
          <t>assumption</t>
        </is>
      </c>
      <c r="D47" t="inlineStr">
        <is>
          <t>3000 to 10000</t>
        </is>
      </c>
    </row>
    <row r="48">
      <c r="A48" t="inlineStr">
        <is>
          <t>A17</t>
        </is>
      </c>
      <c r="B48" t="inlineStr">
        <is>
          <t>ERP integration cost per enterprise customer</t>
        </is>
      </c>
      <c r="C48" t="inlineStr">
        <is>
          <t>assumption</t>
        </is>
      </c>
      <c r="D48" t="inlineStr">
        <is>
          <t>0.1 to 0.5</t>
        </is>
      </c>
    </row>
    <row r="49">
      <c r="A49" t="inlineStr">
        <is>
          <t>A18</t>
        </is>
      </c>
      <c r="B49" t="inlineStr">
        <is>
          <t>First-year contract value, finance agent, one enterprise</t>
        </is>
      </c>
      <c r="C49" t="inlineStr">
        <is>
          <t>assumption</t>
        </is>
      </c>
      <c r="D49" t="inlineStr">
        <is>
          <t>0.5 to 3</t>
        </is>
      </c>
    </row>
    <row r="50">
      <c r="A50" t="inlineStr">
        <is>
          <t>A20</t>
        </is>
      </c>
      <c r="B50" t="inlineStr">
        <is>
          <t>AI-native services gross margin</t>
        </is>
      </c>
      <c r="C50" t="inlineStr">
        <is>
          <t>assumption</t>
        </is>
      </c>
      <c r="D50" t="inlineStr">
        <is>
          <t>0.4 to 0.6</t>
        </is>
      </c>
    </row>
    <row r="51">
      <c r="A51" t="inlineStr">
        <is>
          <t>A23</t>
        </is>
      </c>
      <c r="B51" t="inlineStr">
        <is>
          <t>Vertical AI price per site per month</t>
        </is>
      </c>
      <c r="C51" t="inlineStr">
        <is>
          <t>assumption</t>
        </is>
      </c>
      <c r="D51" t="inlineStr">
        <is>
          <t>2000 to 20000</t>
        </is>
      </c>
    </row>
    <row r="52">
      <c r="A52" t="inlineStr">
        <is>
          <t>A24</t>
        </is>
      </c>
      <c r="B52" t="inlineStr">
        <is>
          <t>Deployment cost per new site</t>
        </is>
      </c>
      <c r="C52" t="inlineStr">
        <is>
          <t>assumption</t>
        </is>
      </c>
      <c r="D52" t="inlineStr">
        <is>
          <t>5000 to 50000</t>
        </is>
      </c>
    </row>
    <row r="53">
      <c r="A53" t="inlineStr">
        <is>
          <t>A26</t>
        </is>
      </c>
      <c r="B53" t="inlineStr">
        <is>
          <t>Security and audit tool annual subscription per regulated buyer</t>
        </is>
      </c>
      <c r="C53" t="inlineStr">
        <is>
          <t>assumption</t>
        </is>
      </c>
      <c r="D53" t="inlineStr">
        <is>
          <t>0.2 to 2</t>
        </is>
      </c>
    </row>
    <row r="54">
      <c r="A54" t="inlineStr">
        <is>
          <t>A36</t>
        </is>
      </c>
      <c r="B54" t="inlineStr">
        <is>
          <t>Physical AI payback per deployed unit</t>
        </is>
      </c>
      <c r="C54" t="inlineStr">
        <is>
          <t>assumption</t>
        </is>
      </c>
      <c r="D54" t="inlineStr">
        <is>
          <t>12 to 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2026-10-05T10:37:53Z</dcterms:created>
  <dcterms:modified xsi:type="dcterms:W3CDTF">2026-10-05T10:37:53Z</dcterms:modified>
</cp:coreProperties>
</file>